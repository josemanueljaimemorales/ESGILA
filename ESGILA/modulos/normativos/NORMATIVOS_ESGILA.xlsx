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manu/Desktop/ESGILA/modulos/normativos/"/>
    </mc:Choice>
  </mc:AlternateContent>
  <xr:revisionPtr revIDLastSave="0" documentId="8_{8ED3A091-A0C9-6844-9778-812D75F93A96}" xr6:coauthVersionLast="47" xr6:coauthVersionMax="47" xr10:uidLastSave="{00000000-0000-0000-0000-000000000000}"/>
  <bookViews>
    <workbookView xWindow="0" yWindow="660" windowWidth="29400" windowHeight="18460" xr2:uid="{00000000-000D-0000-FFFF-FFFF00000000}"/>
  </bookViews>
  <sheets>
    <sheet name="NORMATIVOS" sheetId="1" r:id="rId1"/>
    <sheet name="FICHA DEL ATLETA" sheetId="4" r:id="rId2"/>
    <sheet name="INDICADORES" sheetId="5" r:id="rId3"/>
    <sheet name="CONSOLIDADO" sheetId="3" r:id="rId4"/>
    <sheet name="CATALOGOS" sheetId="2" r:id="rId5"/>
    <sheet name="Angel Babun" sheetId="6" r:id="rId6"/>
    <sheet name="Felix Mogollon" sheetId="7" r:id="rId7"/>
  </sheets>
  <definedNames>
    <definedName name="_xlnm._FilterDatabase" localSheetId="5" hidden="1">'Angel Babun'!$A$26:$E$290</definedName>
    <definedName name="_xlnm._FilterDatabase" localSheetId="6" hidden="1">'Felix Mogollon'!$A$26:$E$290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7" l="1"/>
  <c r="A15" i="7"/>
  <c r="A16" i="7"/>
  <c r="A17" i="7"/>
  <c r="A14" i="6"/>
  <c r="A15" i="6"/>
  <c r="A16" i="6"/>
  <c r="A17" i="6"/>
  <c r="B3" i="7"/>
  <c r="C288" i="7"/>
  <c r="C287" i="7"/>
  <c r="C286" i="7"/>
  <c r="C285" i="7"/>
  <c r="C284" i="7"/>
  <c r="E284" i="7" s="1"/>
  <c r="B3" i="6"/>
  <c r="B12" i="5"/>
  <c r="B13" i="5"/>
  <c r="B14" i="5"/>
  <c r="B15" i="5"/>
  <c r="B16" i="5"/>
  <c r="B17" i="5"/>
  <c r="B18" i="5"/>
  <c r="B19" i="5"/>
  <c r="B20" i="5"/>
  <c r="B21" i="5"/>
  <c r="B22" i="5"/>
  <c r="B23" i="5"/>
  <c r="B24" i="5"/>
  <c r="B25" i="5"/>
  <c r="B26" i="5"/>
  <c r="B27" i="5"/>
  <c r="A5" i="3"/>
  <c r="B5" i="3"/>
  <c r="C5" i="3"/>
  <c r="B7" i="7" s="1"/>
  <c r="D5" i="3"/>
  <c r="B8" i="7" s="1"/>
  <c r="E5" i="3"/>
  <c r="F5" i="3"/>
  <c r="B10" i="7" s="1"/>
  <c r="A4" i="3"/>
  <c r="B3" i="5" s="1"/>
  <c r="B4" i="3"/>
  <c r="B6" i="4" s="1"/>
  <c r="C4" i="3"/>
  <c r="B7" i="6" s="1"/>
  <c r="D4" i="3"/>
  <c r="B8" i="6" s="1"/>
  <c r="E4" i="3"/>
  <c r="B9" i="4" s="1"/>
  <c r="F4" i="3"/>
  <c r="B10" i="6" s="1"/>
  <c r="B9" i="7" l="1"/>
  <c r="C283" i="7"/>
  <c r="E283" i="7" s="1"/>
  <c r="C282" i="7"/>
  <c r="C281" i="7"/>
  <c r="C280" i="7"/>
  <c r="C279" i="7"/>
  <c r="C278" i="7"/>
  <c r="C277" i="7"/>
  <c r="C276" i="7"/>
  <c r="C275" i="7"/>
  <c r="C273" i="7"/>
  <c r="C272" i="7"/>
  <c r="C271" i="7"/>
  <c r="C270" i="7"/>
  <c r="C269" i="7"/>
  <c r="C268" i="7"/>
  <c r="C267" i="7"/>
  <c r="C266" i="7"/>
  <c r="C265" i="7"/>
  <c r="C264" i="7"/>
  <c r="C263" i="7"/>
  <c r="C262" i="7"/>
  <c r="C261" i="7"/>
  <c r="C259" i="7"/>
  <c r="C258" i="7"/>
  <c r="C257" i="7"/>
  <c r="C256" i="7"/>
  <c r="C255" i="7"/>
  <c r="C254" i="7"/>
  <c r="C253" i="7"/>
  <c r="C252" i="7"/>
  <c r="C251" i="7"/>
  <c r="C274" i="7"/>
  <c r="C260" i="7"/>
  <c r="C250" i="7"/>
  <c r="C249" i="7"/>
  <c r="C248" i="7"/>
  <c r="C247" i="7"/>
  <c r="C246" i="7"/>
  <c r="C245" i="7"/>
  <c r="C244" i="7"/>
  <c r="C243" i="7"/>
  <c r="C242" i="7"/>
  <c r="C241" i="7"/>
  <c r="C240" i="7"/>
  <c r="C239" i="7"/>
  <c r="C238" i="7"/>
  <c r="C237" i="7"/>
  <c r="C236" i="7"/>
  <c r="C235" i="7"/>
  <c r="C234" i="7"/>
  <c r="B6" i="7"/>
  <c r="C290" i="7"/>
  <c r="C166" i="7"/>
  <c r="F20" i="7"/>
  <c r="G19" i="7"/>
  <c r="E6" i="7"/>
  <c r="H6" i="7" s="1"/>
  <c r="F6" i="7"/>
  <c r="I6" i="7" s="1"/>
  <c r="G6" i="7"/>
  <c r="E7" i="7"/>
  <c r="H7" i="7" s="1"/>
  <c r="F7" i="7"/>
  <c r="I7" i="7" s="1"/>
  <c r="G7" i="7"/>
  <c r="E8" i="7"/>
  <c r="F8" i="7"/>
  <c r="G8" i="7"/>
  <c r="E9" i="7"/>
  <c r="H9" i="7" s="1"/>
  <c r="F9" i="7"/>
  <c r="I9" i="7" s="1"/>
  <c r="G9" i="7"/>
  <c r="E10" i="7"/>
  <c r="H10" i="7" s="1"/>
  <c r="F10" i="7"/>
  <c r="I10" i="7" s="1"/>
  <c r="G10" i="7"/>
  <c r="E11" i="7"/>
  <c r="F11" i="7"/>
  <c r="G11" i="7"/>
  <c r="E12" i="7"/>
  <c r="F12" i="7"/>
  <c r="I12" i="7" s="1"/>
  <c r="G12" i="7"/>
  <c r="E13" i="7"/>
  <c r="F13" i="7"/>
  <c r="I13" i="7" s="1"/>
  <c r="G13" i="7"/>
  <c r="E14" i="7"/>
  <c r="F14" i="7"/>
  <c r="I14" i="7" s="1"/>
  <c r="G14" i="7"/>
  <c r="E15" i="7"/>
  <c r="F15" i="7"/>
  <c r="G15" i="7"/>
  <c r="E16" i="7"/>
  <c r="F16" i="7"/>
  <c r="I16" i="7" s="1"/>
  <c r="G16" i="7"/>
  <c r="E17" i="7"/>
  <c r="F17" i="7"/>
  <c r="G17" i="7"/>
  <c r="E18" i="7"/>
  <c r="F18" i="7"/>
  <c r="I18" i="7" s="1"/>
  <c r="G18" i="7"/>
  <c r="E19" i="7"/>
  <c r="F19" i="7"/>
  <c r="I19" i="7" s="1"/>
  <c r="E20" i="7"/>
  <c r="G20" i="7"/>
  <c r="I20" i="7" s="1"/>
  <c r="E21" i="7"/>
  <c r="F21" i="7"/>
  <c r="I21" i="7" s="1"/>
  <c r="G21" i="7"/>
  <c r="C27" i="7"/>
  <c r="C28" i="7"/>
  <c r="C29" i="7"/>
  <c r="C30" i="7"/>
  <c r="C31" i="7"/>
  <c r="C32" i="7"/>
  <c r="C33" i="7"/>
  <c r="C34" i="7"/>
  <c r="C35" i="7"/>
  <c r="C36" i="7"/>
  <c r="C37"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80" i="7"/>
  <c r="C165" i="7"/>
  <c r="E165" i="7" s="1"/>
  <c r="C164" i="7"/>
  <c r="E164" i="7" s="1"/>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97" i="7"/>
  <c r="C96" i="7"/>
  <c r="C95" i="7"/>
  <c r="C94" i="7"/>
  <c r="C93" i="7"/>
  <c r="C92" i="7"/>
  <c r="C91" i="7"/>
  <c r="C90" i="7"/>
  <c r="C89" i="7"/>
  <c r="C88" i="7"/>
  <c r="C87" i="7"/>
  <c r="C86" i="7"/>
  <c r="C85" i="7"/>
  <c r="C84" i="7"/>
  <c r="C83" i="7"/>
  <c r="C82" i="7"/>
  <c r="C81" i="7"/>
  <c r="E288" i="7"/>
  <c r="D288" i="7"/>
  <c r="E287" i="7"/>
  <c r="D287" i="7"/>
  <c r="E286" i="7"/>
  <c r="D286" i="7"/>
  <c r="E285" i="7"/>
  <c r="D285" i="7"/>
  <c r="E280" i="7"/>
  <c r="D280" i="7"/>
  <c r="E273" i="7"/>
  <c r="D273" i="7"/>
  <c r="E272" i="7"/>
  <c r="D272" i="7"/>
  <c r="D271" i="7"/>
  <c r="E271" i="7"/>
  <c r="E270" i="7"/>
  <c r="D270" i="7"/>
  <c r="E269" i="7"/>
  <c r="D269" i="7"/>
  <c r="E268" i="7"/>
  <c r="D268" i="7"/>
  <c r="E267" i="7"/>
  <c r="D267" i="7"/>
  <c r="E266" i="7"/>
  <c r="D266" i="7"/>
  <c r="E265" i="7"/>
  <c r="D265" i="7"/>
  <c r="D264" i="7"/>
  <c r="E264" i="7"/>
  <c r="E263" i="7"/>
  <c r="D263" i="7"/>
  <c r="E262" i="7"/>
  <c r="D262" i="7"/>
  <c r="E261" i="7"/>
  <c r="D261" i="7"/>
  <c r="E260" i="7"/>
  <c r="D260" i="7"/>
  <c r="D256" i="7"/>
  <c r="E256" i="7"/>
  <c r="E255" i="7"/>
  <c r="D255" i="7"/>
  <c r="E248" i="7"/>
  <c r="D248" i="7"/>
  <c r="E247" i="7"/>
  <c r="D247" i="7"/>
  <c r="E245" i="7"/>
  <c r="D245" i="7"/>
  <c r="D244" i="7"/>
  <c r="E244" i="7"/>
  <c r="D243" i="7"/>
  <c r="E243" i="7"/>
  <c r="D242" i="7"/>
  <c r="E242" i="7"/>
  <c r="D241" i="7"/>
  <c r="E241" i="7"/>
  <c r="D240" i="7"/>
  <c r="E240" i="7"/>
  <c r="E239" i="7"/>
  <c r="D239" i="7"/>
  <c r="E238" i="7"/>
  <c r="D238" i="7"/>
  <c r="C164" i="6"/>
  <c r="E7" i="6"/>
  <c r="H7" i="6" s="1"/>
  <c r="C289" i="6"/>
  <c r="C288" i="6"/>
  <c r="C287" i="6"/>
  <c r="C286" i="6"/>
  <c r="C285" i="6"/>
  <c r="C284" i="6"/>
  <c r="E284" i="6" s="1"/>
  <c r="C283" i="6"/>
  <c r="E283" i="6" s="1"/>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F6" i="6"/>
  <c r="I6" i="6" s="1"/>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D178" i="6" s="1"/>
  <c r="C177" i="6"/>
  <c r="C176" i="6"/>
  <c r="C175" i="6"/>
  <c r="C174" i="6"/>
  <c r="E174" i="6" s="1"/>
  <c r="C173" i="6"/>
  <c r="E173" i="6" s="1"/>
  <c r="C172" i="6"/>
  <c r="E172" i="6" s="1"/>
  <c r="C171" i="6"/>
  <c r="E171" i="6" s="1"/>
  <c r="C170" i="6"/>
  <c r="D170" i="6" s="1"/>
  <c r="C169" i="6"/>
  <c r="E169" i="6" s="1"/>
  <c r="C168" i="6"/>
  <c r="E168" i="6" s="1"/>
  <c r="C167" i="6"/>
  <c r="E167" i="6" s="1"/>
  <c r="C166" i="6"/>
  <c r="E166" i="6" s="1"/>
  <c r="C165" i="6"/>
  <c r="E165" i="6" s="1"/>
  <c r="C249"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290" i="6"/>
  <c r="C133" i="6"/>
  <c r="C132" i="6"/>
  <c r="C131" i="6"/>
  <c r="C130" i="6"/>
  <c r="C129" i="6"/>
  <c r="C128" i="6"/>
  <c r="C127" i="6"/>
  <c r="C126" i="6"/>
  <c r="C125" i="6"/>
  <c r="C124" i="6"/>
  <c r="C123" i="6"/>
  <c r="C122" i="6"/>
  <c r="C121" i="6"/>
  <c r="C120" i="6"/>
  <c r="C119" i="6"/>
  <c r="C118" i="6"/>
  <c r="C78" i="6"/>
  <c r="C76" i="6"/>
  <c r="C74" i="6"/>
  <c r="C72" i="6"/>
  <c r="C70" i="6"/>
  <c r="C68" i="6"/>
  <c r="C66" i="6"/>
  <c r="C65" i="6"/>
  <c r="C63" i="6"/>
  <c r="C61" i="6"/>
  <c r="C58" i="6"/>
  <c r="C57" i="6"/>
  <c r="C55" i="6"/>
  <c r="C53" i="6"/>
  <c r="C51" i="6"/>
  <c r="C49" i="6"/>
  <c r="C47" i="6"/>
  <c r="C44" i="6"/>
  <c r="C42" i="6"/>
  <c r="C40" i="6"/>
  <c r="C38" i="6"/>
  <c r="C36" i="6"/>
  <c r="C34" i="6"/>
  <c r="C32" i="6"/>
  <c r="C30" i="6"/>
  <c r="C27" i="6"/>
  <c r="G21" i="6"/>
  <c r="E21" i="6"/>
  <c r="H21" i="6" s="1"/>
  <c r="F20" i="6"/>
  <c r="G19" i="6"/>
  <c r="E19" i="6"/>
  <c r="H19" i="6" s="1"/>
  <c r="F18" i="6"/>
  <c r="I18" i="6" s="1"/>
  <c r="F11" i="6"/>
  <c r="I11" i="6" s="1"/>
  <c r="E10" i="6"/>
  <c r="F9" i="6"/>
  <c r="I9" i="6" s="1"/>
  <c r="G8" i="6"/>
  <c r="F8" i="6"/>
  <c r="I8" i="6" s="1"/>
  <c r="G7" i="6"/>
  <c r="G6" i="6"/>
  <c r="E6" i="6"/>
  <c r="H6" i="6" s="1"/>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7" i="6"/>
  <c r="C75" i="6"/>
  <c r="C73" i="6"/>
  <c r="C71" i="6"/>
  <c r="C69" i="6"/>
  <c r="C67" i="6"/>
  <c r="C64" i="6"/>
  <c r="C62" i="6"/>
  <c r="C60" i="6"/>
  <c r="C59" i="6"/>
  <c r="C56" i="6"/>
  <c r="C54" i="6"/>
  <c r="C52" i="6"/>
  <c r="C50" i="6"/>
  <c r="C48" i="6"/>
  <c r="C46" i="6"/>
  <c r="C45" i="6"/>
  <c r="C43" i="6"/>
  <c r="C41" i="6"/>
  <c r="C39" i="6"/>
  <c r="C37" i="6"/>
  <c r="C35" i="6"/>
  <c r="C33" i="6"/>
  <c r="C31" i="6"/>
  <c r="C29" i="6"/>
  <c r="C28" i="6"/>
  <c r="F21" i="6"/>
  <c r="I21" i="6" s="1"/>
  <c r="G20" i="6"/>
  <c r="E20" i="6"/>
  <c r="H20" i="6" s="1"/>
  <c r="F19" i="6"/>
  <c r="I19" i="6" s="1"/>
  <c r="G18" i="6"/>
  <c r="E18" i="6"/>
  <c r="H18" i="6" s="1"/>
  <c r="G17" i="6"/>
  <c r="F17" i="6"/>
  <c r="I17" i="6" s="1"/>
  <c r="E17" i="6"/>
  <c r="H17" i="6" s="1"/>
  <c r="G16" i="6"/>
  <c r="F16" i="6"/>
  <c r="I16" i="6" s="1"/>
  <c r="E16" i="6"/>
  <c r="H16" i="6" s="1"/>
  <c r="G15" i="6"/>
  <c r="F15" i="6"/>
  <c r="I15" i="6" s="1"/>
  <c r="E15" i="6"/>
  <c r="H15" i="6" s="1"/>
  <c r="G14" i="6"/>
  <c r="F14" i="6"/>
  <c r="I14" i="6" s="1"/>
  <c r="E14" i="6"/>
  <c r="H14" i="6" s="1"/>
  <c r="G13" i="6"/>
  <c r="F13" i="6"/>
  <c r="I13" i="6" s="1"/>
  <c r="E13" i="6"/>
  <c r="H13" i="6" s="1"/>
  <c r="G12" i="6"/>
  <c r="F12" i="6"/>
  <c r="I12" i="6" s="1"/>
  <c r="E12" i="6"/>
  <c r="H12" i="6" s="1"/>
  <c r="G11" i="6"/>
  <c r="E11" i="6"/>
  <c r="H11" i="6" s="1"/>
  <c r="G10" i="6"/>
  <c r="F10" i="6"/>
  <c r="I10" i="6" s="1"/>
  <c r="G9" i="6"/>
  <c r="E9" i="6"/>
  <c r="H9" i="6" s="1"/>
  <c r="E8" i="6"/>
  <c r="F7" i="6"/>
  <c r="I7" i="6" s="1"/>
  <c r="C134" i="6"/>
  <c r="D284" i="7"/>
  <c r="D284" i="6"/>
  <c r="D283" i="7"/>
  <c r="D283" i="6"/>
  <c r="E178" i="6"/>
  <c r="D174" i="6"/>
  <c r="D173" i="6"/>
  <c r="D172" i="6"/>
  <c r="D171" i="6"/>
  <c r="E170" i="6"/>
  <c r="D169" i="6"/>
  <c r="D168" i="6"/>
  <c r="D167" i="6"/>
  <c r="D166" i="6"/>
  <c r="D165" i="6"/>
  <c r="D165" i="7"/>
  <c r="D164" i="7"/>
  <c r="B6" i="6"/>
  <c r="G5" i="3"/>
  <c r="E5" i="5"/>
  <c r="E7" i="5"/>
  <c r="B9" i="6"/>
  <c r="B8" i="4"/>
  <c r="D87" i="6"/>
  <c r="E6" i="5"/>
  <c r="E87" i="6"/>
  <c r="B10" i="4"/>
  <c r="E4" i="5"/>
  <c r="B6" i="5"/>
  <c r="G4" i="3"/>
  <c r="B5" i="5"/>
  <c r="B7" i="4"/>
  <c r="C289" i="7"/>
  <c r="H13" i="7" l="1"/>
  <c r="H21" i="7"/>
  <c r="H15" i="7"/>
  <c r="I15" i="7"/>
  <c r="H16" i="7"/>
  <c r="H17" i="7"/>
  <c r="I17" i="7"/>
  <c r="H18" i="7"/>
  <c r="H14" i="7"/>
  <c r="H20" i="7"/>
  <c r="I20" i="6"/>
  <c r="H12" i="7"/>
  <c r="H19" i="7"/>
  <c r="E282" i="7"/>
  <c r="D282" i="7"/>
  <c r="E281" i="7"/>
  <c r="D281" i="7"/>
  <c r="D279" i="7"/>
  <c r="E279" i="7"/>
  <c r="E278" i="7"/>
  <c r="D278" i="7"/>
  <c r="E277" i="7"/>
  <c r="D277" i="7"/>
  <c r="E276" i="7"/>
  <c r="D276" i="7"/>
  <c r="E275" i="7"/>
  <c r="D275" i="7"/>
  <c r="D259" i="7"/>
  <c r="E259" i="7"/>
  <c r="E258" i="7"/>
  <c r="D258" i="7"/>
  <c r="E257" i="7"/>
  <c r="D257" i="7"/>
  <c r="D254" i="7"/>
  <c r="E254" i="7"/>
  <c r="E253" i="7"/>
  <c r="D253" i="7"/>
  <c r="E252" i="7"/>
  <c r="D252" i="7"/>
  <c r="E251" i="7"/>
  <c r="D251" i="7"/>
  <c r="E274" i="7"/>
  <c r="D274" i="7"/>
  <c r="E250" i="7"/>
  <c r="D250" i="7"/>
  <c r="E249" i="7"/>
  <c r="D249" i="7"/>
  <c r="E246" i="7"/>
  <c r="D246" i="7"/>
  <c r="E237" i="7"/>
  <c r="D237" i="7"/>
  <c r="E236" i="7"/>
  <c r="D236" i="7"/>
  <c r="E235" i="7"/>
  <c r="D235" i="7"/>
  <c r="E234" i="7"/>
  <c r="D234" i="7"/>
  <c r="E166" i="7"/>
  <c r="D166" i="7"/>
  <c r="E174" i="7"/>
  <c r="D174" i="7"/>
  <c r="E173" i="7"/>
  <c r="D173" i="7"/>
  <c r="E172" i="7"/>
  <c r="D172" i="7"/>
  <c r="E170" i="7"/>
  <c r="D170" i="7"/>
  <c r="E169" i="7"/>
  <c r="D169" i="7"/>
  <c r="D167" i="7"/>
  <c r="E167" i="7"/>
  <c r="E164" i="6"/>
  <c r="D164" i="6"/>
  <c r="E282" i="6"/>
  <c r="D282" i="6"/>
  <c r="D281" i="6"/>
  <c r="E281" i="6"/>
  <c r="D280" i="6"/>
  <c r="E280" i="6"/>
  <c r="E279" i="6"/>
  <c r="D279" i="6"/>
  <c r="D278" i="6"/>
  <c r="E278" i="6"/>
  <c r="E277" i="6"/>
  <c r="D277" i="6"/>
  <c r="D276" i="6"/>
  <c r="E276" i="6"/>
  <c r="E275" i="6"/>
  <c r="D275" i="6"/>
  <c r="E274" i="6"/>
  <c r="D274" i="6"/>
  <c r="E259" i="6"/>
  <c r="D259" i="6"/>
  <c r="E258" i="6"/>
  <c r="D258" i="6"/>
  <c r="E257" i="6"/>
  <c r="D257" i="6"/>
  <c r="E256" i="6"/>
  <c r="D256" i="6"/>
  <c r="D255" i="6"/>
  <c r="E255" i="6"/>
  <c r="E254" i="6"/>
  <c r="D254" i="6"/>
  <c r="D253" i="6"/>
  <c r="E253" i="6"/>
  <c r="E252" i="6"/>
  <c r="D252" i="6"/>
  <c r="D251" i="6"/>
  <c r="E251" i="6"/>
  <c r="E250" i="6"/>
  <c r="D250" i="6"/>
  <c r="E248" i="6"/>
  <c r="D248" i="6"/>
  <c r="E247" i="6"/>
  <c r="D247" i="6"/>
  <c r="E246" i="6"/>
  <c r="D246" i="6"/>
  <c r="E237" i="6"/>
  <c r="D237" i="6"/>
  <c r="E236" i="6"/>
  <c r="D236" i="6"/>
  <c r="E234" i="6"/>
  <c r="D234" i="6"/>
  <c r="E222" i="6"/>
  <c r="D222" i="6"/>
  <c r="E221" i="6"/>
  <c r="D221" i="6"/>
  <c r="E218" i="6"/>
  <c r="D218" i="6"/>
  <c r="E215" i="6"/>
  <c r="D215" i="6"/>
  <c r="E214" i="6"/>
  <c r="D214" i="6"/>
  <c r="E213" i="6"/>
  <c r="D213" i="6"/>
  <c r="E210" i="6"/>
  <c r="D210" i="6"/>
  <c r="E209" i="6"/>
  <c r="D209" i="6"/>
  <c r="E199" i="6"/>
  <c r="D199" i="6"/>
  <c r="E198" i="6"/>
  <c r="D198" i="6"/>
  <c r="E197" i="6"/>
  <c r="D197" i="6"/>
  <c r="E196" i="6"/>
  <c r="D196" i="6"/>
  <c r="E195" i="6"/>
  <c r="D195" i="6"/>
  <c r="D194" i="6"/>
  <c r="E194" i="6"/>
  <c r="D193" i="6"/>
  <c r="E193" i="6"/>
  <c r="D192" i="6"/>
  <c r="E192" i="6"/>
  <c r="E191" i="6"/>
  <c r="D191" i="6"/>
  <c r="D249" i="6"/>
  <c r="E249" i="6"/>
  <c r="D290" i="7"/>
  <c r="E290" i="7"/>
  <c r="I8" i="7"/>
  <c r="H8" i="7"/>
  <c r="E27" i="7"/>
  <c r="D27" i="7"/>
  <c r="D28" i="7"/>
  <c r="E28" i="7"/>
  <c r="D29" i="7"/>
  <c r="E29" i="7"/>
  <c r="D30" i="7"/>
  <c r="E30" i="7"/>
  <c r="D31" i="7"/>
  <c r="E31" i="7"/>
  <c r="D32" i="7"/>
  <c r="E32" i="7"/>
  <c r="D33" i="7"/>
  <c r="E33" i="7"/>
  <c r="D34" i="7"/>
  <c r="E34" i="7"/>
  <c r="D35" i="7"/>
  <c r="E35" i="7"/>
  <c r="D36" i="7"/>
  <c r="E36" i="7"/>
  <c r="D37" i="7"/>
  <c r="E37" i="7"/>
  <c r="D232" i="7"/>
  <c r="E232" i="7"/>
  <c r="D231" i="7"/>
  <c r="E231" i="7"/>
  <c r="D230" i="7"/>
  <c r="E230" i="7"/>
  <c r="D229" i="7"/>
  <c r="E229" i="7"/>
  <c r="D228" i="7"/>
  <c r="E228" i="7"/>
  <c r="D227" i="7"/>
  <c r="E227" i="7"/>
  <c r="D226" i="7"/>
  <c r="E226" i="7"/>
  <c r="D225" i="7"/>
  <c r="E225" i="7"/>
  <c r="D224" i="7"/>
  <c r="E224" i="7"/>
  <c r="D223" i="7"/>
  <c r="E223" i="7"/>
  <c r="D220" i="7"/>
  <c r="E220" i="7"/>
  <c r="D219" i="7"/>
  <c r="E219" i="7"/>
  <c r="D217" i="7"/>
  <c r="E217" i="7"/>
  <c r="D216" i="7"/>
  <c r="E216" i="7"/>
  <c r="D215" i="7"/>
  <c r="E215" i="7"/>
  <c r="D212" i="7"/>
  <c r="E212" i="7"/>
  <c r="D211" i="7"/>
  <c r="E211" i="7"/>
  <c r="D208" i="7"/>
  <c r="E208" i="7"/>
  <c r="D207" i="7"/>
  <c r="E207" i="7"/>
  <c r="D206" i="7"/>
  <c r="E206" i="7"/>
  <c r="D205" i="7"/>
  <c r="E205" i="7"/>
  <c r="D204" i="7"/>
  <c r="E204" i="7"/>
  <c r="D203" i="7"/>
  <c r="E203" i="7"/>
  <c r="D202" i="7"/>
  <c r="E202" i="7"/>
  <c r="D201" i="7"/>
  <c r="E201" i="7"/>
  <c r="D200" i="7"/>
  <c r="E200" i="7"/>
  <c r="E195" i="7"/>
  <c r="D195" i="7"/>
  <c r="D190" i="7"/>
  <c r="E190" i="7"/>
  <c r="D189" i="7"/>
  <c r="E189" i="7"/>
  <c r="D188" i="7"/>
  <c r="E188" i="7"/>
  <c r="D187" i="7"/>
  <c r="E187" i="7"/>
  <c r="D186" i="7"/>
  <c r="E186" i="7"/>
  <c r="D185" i="7"/>
  <c r="E185" i="7"/>
  <c r="D184" i="7"/>
  <c r="E184" i="7"/>
  <c r="D183" i="7"/>
  <c r="E183" i="7"/>
  <c r="D182" i="7"/>
  <c r="E182" i="7"/>
  <c r="D181" i="7"/>
  <c r="E181" i="7"/>
  <c r="D180" i="7"/>
  <c r="E180" i="7"/>
  <c r="D179" i="7"/>
  <c r="E179" i="7"/>
  <c r="E178" i="7"/>
  <c r="D178" i="7"/>
  <c r="D177" i="7"/>
  <c r="E177" i="7"/>
  <c r="D176" i="7"/>
  <c r="E176" i="7"/>
  <c r="D175" i="7"/>
  <c r="E175" i="7"/>
  <c r="D171" i="7"/>
  <c r="E171" i="7"/>
  <c r="D168" i="7"/>
  <c r="E168" i="7"/>
  <c r="D80" i="7"/>
  <c r="E80" i="7"/>
  <c r="D163" i="7"/>
  <c r="E163" i="7"/>
  <c r="D161" i="7"/>
  <c r="E161" i="7"/>
  <c r="D160" i="7"/>
  <c r="E160" i="7"/>
  <c r="D159" i="7"/>
  <c r="E159" i="7"/>
  <c r="D158" i="7"/>
  <c r="E158" i="7"/>
  <c r="D157" i="7"/>
  <c r="E157" i="7"/>
  <c r="D156" i="7"/>
  <c r="E156" i="7"/>
  <c r="D155" i="7"/>
  <c r="E155" i="7"/>
  <c r="D151" i="7"/>
  <c r="E151" i="7"/>
  <c r="D143" i="7"/>
  <c r="E143" i="7"/>
  <c r="D141" i="7"/>
  <c r="E141" i="7"/>
  <c r="D140" i="7"/>
  <c r="E140" i="7"/>
  <c r="D139" i="7"/>
  <c r="E139" i="7"/>
  <c r="E131" i="7"/>
  <c r="D131" i="7"/>
  <c r="D127" i="7"/>
  <c r="E127" i="7"/>
  <c r="D126" i="7"/>
  <c r="E126" i="7"/>
  <c r="D125" i="7"/>
  <c r="E125" i="7"/>
  <c r="D124" i="7"/>
  <c r="E124" i="7"/>
  <c r="D123" i="7"/>
  <c r="E123" i="7"/>
  <c r="D122" i="7"/>
  <c r="E122" i="7"/>
  <c r="D121" i="7"/>
  <c r="E121" i="7"/>
  <c r="D120" i="7"/>
  <c r="E120" i="7"/>
  <c r="D119" i="7"/>
  <c r="E119" i="7"/>
  <c r="D118" i="7"/>
  <c r="E118" i="7"/>
  <c r="D117" i="7"/>
  <c r="E117" i="7"/>
  <c r="D116" i="7"/>
  <c r="E116" i="7"/>
  <c r="D115" i="7"/>
  <c r="E115" i="7"/>
  <c r="D114" i="7"/>
  <c r="E114" i="7"/>
  <c r="D113" i="7"/>
  <c r="E113" i="7"/>
  <c r="D112" i="7"/>
  <c r="E112" i="7"/>
  <c r="D111" i="7"/>
  <c r="E111" i="7"/>
  <c r="D110" i="7"/>
  <c r="E110" i="7"/>
  <c r="D109" i="7"/>
  <c r="E109" i="7"/>
  <c r="D108" i="7"/>
  <c r="E108" i="7"/>
  <c r="D107" i="7"/>
  <c r="E107" i="7"/>
  <c r="D104" i="7"/>
  <c r="E104" i="7"/>
  <c r="D100" i="7"/>
  <c r="E100" i="7"/>
  <c r="D99" i="7"/>
  <c r="E99"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D53" i="7"/>
  <c r="E53" i="7"/>
  <c r="D54" i="7"/>
  <c r="E54" i="7"/>
  <c r="D55" i="7"/>
  <c r="E55" i="7"/>
  <c r="D56" i="7"/>
  <c r="E56" i="7"/>
  <c r="D57" i="7"/>
  <c r="E57" i="7"/>
  <c r="D58" i="7"/>
  <c r="E58" i="7"/>
  <c r="D59" i="7"/>
  <c r="E59" i="7"/>
  <c r="D60" i="7"/>
  <c r="E60" i="7"/>
  <c r="D61" i="7"/>
  <c r="E61" i="7"/>
  <c r="D62" i="7"/>
  <c r="E62" i="7"/>
  <c r="D63" i="7"/>
  <c r="E63" i="7"/>
  <c r="D64" i="7"/>
  <c r="E64" i="7"/>
  <c r="D65" i="7"/>
  <c r="E65" i="7"/>
  <c r="D66" i="7"/>
  <c r="E66" i="7"/>
  <c r="D67" i="7"/>
  <c r="E67" i="7"/>
  <c r="D68" i="7"/>
  <c r="E68" i="7"/>
  <c r="D69" i="7"/>
  <c r="E69" i="7"/>
  <c r="D70" i="7"/>
  <c r="E70" i="7"/>
  <c r="D71" i="7"/>
  <c r="E71" i="7"/>
  <c r="D72" i="7"/>
  <c r="E72" i="7"/>
  <c r="D73" i="7"/>
  <c r="E73" i="7"/>
  <c r="D74" i="7"/>
  <c r="E74" i="7"/>
  <c r="D75" i="7"/>
  <c r="E75" i="7"/>
  <c r="D76" i="7"/>
  <c r="E76" i="7"/>
  <c r="D77" i="7"/>
  <c r="E77" i="7"/>
  <c r="D78" i="7"/>
  <c r="E78" i="7"/>
  <c r="D79" i="7"/>
  <c r="E79" i="7"/>
  <c r="D96" i="7"/>
  <c r="E96" i="7"/>
  <c r="D91" i="7"/>
  <c r="E91" i="7"/>
  <c r="D86" i="7"/>
  <c r="E86" i="7"/>
  <c r="D85" i="7"/>
  <c r="E85" i="7"/>
  <c r="D84" i="7"/>
  <c r="E84" i="7"/>
  <c r="D83" i="7"/>
  <c r="E83" i="7"/>
  <c r="D82" i="7"/>
  <c r="E82" i="7"/>
  <c r="D81" i="7"/>
  <c r="E81" i="7"/>
  <c r="D289" i="6"/>
  <c r="E289" i="6"/>
  <c r="E288" i="6"/>
  <c r="D288" i="6"/>
  <c r="D287" i="6"/>
  <c r="E287" i="6"/>
  <c r="E286" i="6"/>
  <c r="D286" i="6"/>
  <c r="D285" i="6"/>
  <c r="E285" i="6"/>
  <c r="D273" i="6"/>
  <c r="E273" i="6"/>
  <c r="D272" i="6"/>
  <c r="E272" i="6"/>
  <c r="E271" i="6"/>
  <c r="D271" i="6"/>
  <c r="E270" i="6"/>
  <c r="D270" i="6"/>
  <c r="D269" i="6"/>
  <c r="E269" i="6"/>
  <c r="D268" i="6"/>
  <c r="E268" i="6"/>
  <c r="D267" i="6"/>
  <c r="E267" i="6"/>
  <c r="D266" i="6"/>
  <c r="E266" i="6"/>
  <c r="D265" i="6"/>
  <c r="E265" i="6"/>
  <c r="D264" i="6"/>
  <c r="E264" i="6"/>
  <c r="D263" i="6"/>
  <c r="E263" i="6"/>
  <c r="D262" i="6"/>
  <c r="E262" i="6"/>
  <c r="D261" i="6"/>
  <c r="E261" i="6"/>
  <c r="D260" i="6"/>
  <c r="E260" i="6"/>
  <c r="D245" i="6"/>
  <c r="E245" i="6"/>
  <c r="D244" i="6"/>
  <c r="E244" i="6"/>
  <c r="D243" i="6"/>
  <c r="E243" i="6"/>
  <c r="D242" i="6"/>
  <c r="E242" i="6"/>
  <c r="D241" i="6"/>
  <c r="E241" i="6"/>
  <c r="D240" i="6"/>
  <c r="E240" i="6"/>
  <c r="D239" i="6"/>
  <c r="E239" i="6"/>
  <c r="D238" i="6"/>
  <c r="E238" i="6"/>
  <c r="D235" i="6"/>
  <c r="E235" i="6"/>
  <c r="D233" i="6"/>
  <c r="E233" i="6"/>
  <c r="D232" i="6"/>
  <c r="E232" i="6"/>
  <c r="D231" i="6"/>
  <c r="E231" i="6"/>
  <c r="D230" i="6"/>
  <c r="E230" i="6"/>
  <c r="D229" i="6"/>
  <c r="E229" i="6"/>
  <c r="D228" i="6"/>
  <c r="E228" i="6"/>
  <c r="D227" i="6"/>
  <c r="E227" i="6"/>
  <c r="D226" i="6"/>
  <c r="E226" i="6"/>
  <c r="D225" i="6"/>
  <c r="E225" i="6"/>
  <c r="D224" i="6"/>
  <c r="E224" i="6"/>
  <c r="D223" i="6"/>
  <c r="E223" i="6"/>
  <c r="D220" i="6"/>
  <c r="E220" i="6"/>
  <c r="D219" i="6"/>
  <c r="E219" i="6"/>
  <c r="D217" i="6"/>
  <c r="E217" i="6"/>
  <c r="D216" i="6"/>
  <c r="E216" i="6"/>
  <c r="D212" i="6"/>
  <c r="E212" i="6"/>
  <c r="D211" i="6"/>
  <c r="E211" i="6"/>
  <c r="D208" i="6"/>
  <c r="E208" i="6"/>
  <c r="D207" i="6"/>
  <c r="E207" i="6"/>
  <c r="D206" i="6"/>
  <c r="E206" i="6"/>
  <c r="D205" i="6"/>
  <c r="E205" i="6"/>
  <c r="D204" i="6"/>
  <c r="E204" i="6"/>
  <c r="D203" i="6"/>
  <c r="E203" i="6"/>
  <c r="D202" i="6"/>
  <c r="E202" i="6"/>
  <c r="D201" i="6"/>
  <c r="E201" i="6"/>
  <c r="D200" i="6"/>
  <c r="E200" i="6"/>
  <c r="D190" i="6"/>
  <c r="E190" i="6"/>
  <c r="D189" i="6"/>
  <c r="E189" i="6"/>
  <c r="D188" i="6"/>
  <c r="E188" i="6"/>
  <c r="D187" i="6"/>
  <c r="E187" i="6"/>
  <c r="D186" i="6"/>
  <c r="E186" i="6"/>
  <c r="D185" i="6"/>
  <c r="E185" i="6"/>
  <c r="D184" i="6"/>
  <c r="E184" i="6"/>
  <c r="D183" i="6"/>
  <c r="E183" i="6"/>
  <c r="D182" i="6"/>
  <c r="E182" i="6"/>
  <c r="D181" i="6"/>
  <c r="E181" i="6"/>
  <c r="D180" i="6"/>
  <c r="E180" i="6"/>
  <c r="D179" i="6"/>
  <c r="E179" i="6"/>
  <c r="D177" i="6"/>
  <c r="E177" i="6"/>
  <c r="D176" i="6"/>
  <c r="E176" i="6"/>
  <c r="D175" i="6"/>
  <c r="E175" i="6"/>
  <c r="D161" i="6"/>
  <c r="E161" i="6"/>
  <c r="D160" i="6"/>
  <c r="E160" i="6"/>
  <c r="D159" i="6"/>
  <c r="E159" i="6"/>
  <c r="D158" i="6"/>
  <c r="E158" i="6"/>
  <c r="D157" i="6"/>
  <c r="E157" i="6"/>
  <c r="D156" i="6"/>
  <c r="E156" i="6"/>
  <c r="D155" i="6"/>
  <c r="E155" i="6"/>
  <c r="D146" i="6"/>
  <c r="E146" i="6"/>
  <c r="D141" i="6"/>
  <c r="E141" i="6"/>
  <c r="D140" i="6"/>
  <c r="E140" i="6"/>
  <c r="D139" i="6"/>
  <c r="E139" i="6"/>
  <c r="E290" i="6"/>
  <c r="D290" i="6"/>
  <c r="D126" i="6"/>
  <c r="E126" i="6"/>
  <c r="D125" i="6"/>
  <c r="E125" i="6"/>
  <c r="D124" i="6"/>
  <c r="E124" i="6"/>
  <c r="D123" i="6"/>
  <c r="E123" i="6"/>
  <c r="D122" i="6"/>
  <c r="E122" i="6"/>
  <c r="D121" i="6"/>
  <c r="E121" i="6"/>
  <c r="D120" i="6"/>
  <c r="E120" i="6"/>
  <c r="D119" i="6"/>
  <c r="E119" i="6"/>
  <c r="D118" i="6"/>
  <c r="E118" i="6"/>
  <c r="D78" i="6"/>
  <c r="E78" i="6"/>
  <c r="D76" i="6"/>
  <c r="E76" i="6"/>
  <c r="D74" i="6"/>
  <c r="E74" i="6"/>
  <c r="D72" i="6"/>
  <c r="E72" i="6"/>
  <c r="D70" i="6"/>
  <c r="E70" i="6"/>
  <c r="D68" i="6"/>
  <c r="E68" i="6"/>
  <c r="D66" i="6"/>
  <c r="E66" i="6"/>
  <c r="D65" i="6"/>
  <c r="E65" i="6"/>
  <c r="D63" i="6"/>
  <c r="E63" i="6"/>
  <c r="D61" i="6"/>
  <c r="E61" i="6"/>
  <c r="D58" i="6"/>
  <c r="E58" i="6"/>
  <c r="D57" i="6"/>
  <c r="E57" i="6"/>
  <c r="D55" i="6"/>
  <c r="E55" i="6"/>
  <c r="D53" i="6"/>
  <c r="E53" i="6"/>
  <c r="D51" i="6"/>
  <c r="E51" i="6"/>
  <c r="D49" i="6"/>
  <c r="E49" i="6"/>
  <c r="D47" i="6"/>
  <c r="E47" i="6"/>
  <c r="D44" i="6"/>
  <c r="E44" i="6"/>
  <c r="D42" i="6"/>
  <c r="E42" i="6"/>
  <c r="D40" i="6"/>
  <c r="E40" i="6"/>
  <c r="D38" i="6"/>
  <c r="E38" i="6"/>
  <c r="D36" i="6"/>
  <c r="E36" i="6"/>
  <c r="D34" i="6"/>
  <c r="E34" i="6"/>
  <c r="D32" i="6"/>
  <c r="E32" i="6"/>
  <c r="D30" i="6"/>
  <c r="E30" i="6"/>
  <c r="E27" i="6"/>
  <c r="D27" i="6"/>
  <c r="D117" i="6"/>
  <c r="E117" i="6"/>
  <c r="D116" i="6"/>
  <c r="E116" i="6"/>
  <c r="D115" i="6"/>
  <c r="E115" i="6"/>
  <c r="D114" i="6"/>
  <c r="E114" i="6"/>
  <c r="D113" i="6"/>
  <c r="E113" i="6"/>
  <c r="D112" i="6"/>
  <c r="E112" i="6"/>
  <c r="D111" i="6"/>
  <c r="E111" i="6"/>
  <c r="D110" i="6"/>
  <c r="E110" i="6"/>
  <c r="D109" i="6"/>
  <c r="E109" i="6"/>
  <c r="D108" i="6"/>
  <c r="E108" i="6"/>
  <c r="D107" i="6"/>
  <c r="E107" i="6"/>
  <c r="D106" i="6"/>
  <c r="E106" i="6"/>
  <c r="D104" i="6"/>
  <c r="E104" i="6"/>
  <c r="D100" i="6"/>
  <c r="E100" i="6"/>
  <c r="D99" i="6"/>
  <c r="E99" i="6"/>
  <c r="E96" i="6"/>
  <c r="D96" i="6"/>
  <c r="D91" i="6"/>
  <c r="E91" i="6"/>
  <c r="D89" i="6"/>
  <c r="E89" i="6"/>
  <c r="D88" i="6"/>
  <c r="E88" i="6"/>
  <c r="D86" i="6"/>
  <c r="E86" i="6"/>
  <c r="D85" i="6"/>
  <c r="E85" i="6"/>
  <c r="D84" i="6"/>
  <c r="E84" i="6"/>
  <c r="D83" i="6"/>
  <c r="E83" i="6"/>
  <c r="D82" i="6"/>
  <c r="E82" i="6"/>
  <c r="D81" i="6"/>
  <c r="E81" i="6"/>
  <c r="D80" i="6"/>
  <c r="E80" i="6"/>
  <c r="D79" i="6"/>
  <c r="E79" i="6"/>
  <c r="D77" i="6"/>
  <c r="E77" i="6"/>
  <c r="D75" i="6"/>
  <c r="E75" i="6"/>
  <c r="D73" i="6"/>
  <c r="E73" i="6"/>
  <c r="D71" i="6"/>
  <c r="E71" i="6"/>
  <c r="D69" i="6"/>
  <c r="E69" i="6"/>
  <c r="D67" i="6"/>
  <c r="E67" i="6"/>
  <c r="D64" i="6"/>
  <c r="E64" i="6"/>
  <c r="D62" i="6"/>
  <c r="E62" i="6"/>
  <c r="D60" i="6"/>
  <c r="E60" i="6"/>
  <c r="D59" i="6"/>
  <c r="E59" i="6"/>
  <c r="D56" i="6"/>
  <c r="E56" i="6"/>
  <c r="D54" i="6"/>
  <c r="E54" i="6"/>
  <c r="D52" i="6"/>
  <c r="E52" i="6"/>
  <c r="D50" i="6"/>
  <c r="E50" i="6"/>
  <c r="D48" i="6"/>
  <c r="E48" i="6"/>
  <c r="D46" i="6"/>
  <c r="E46" i="6"/>
  <c r="D45" i="6"/>
  <c r="E45" i="6"/>
  <c r="D43" i="6"/>
  <c r="E43" i="6"/>
  <c r="D41" i="6"/>
  <c r="E41" i="6"/>
  <c r="D39" i="6"/>
  <c r="E39" i="6"/>
  <c r="D37" i="6"/>
  <c r="E37" i="6"/>
  <c r="D35" i="6"/>
  <c r="E35" i="6"/>
  <c r="D33" i="6"/>
  <c r="E33" i="6"/>
  <c r="D31" i="6"/>
  <c r="E31" i="6"/>
  <c r="D29" i="6"/>
  <c r="E29" i="6"/>
  <c r="D28" i="6"/>
  <c r="E28" i="6"/>
  <c r="H10" i="6"/>
  <c r="H8" i="6"/>
  <c r="H11" i="7"/>
  <c r="I11" i="7"/>
  <c r="B15" i="7"/>
  <c r="B17" i="7"/>
  <c r="B14" i="7"/>
  <c r="B16" i="7"/>
  <c r="E233" i="7"/>
  <c r="D233" i="7"/>
  <c r="E222" i="7"/>
  <c r="D222" i="7"/>
  <c r="E221" i="7"/>
  <c r="D221" i="7"/>
  <c r="E218" i="7"/>
  <c r="D218" i="7"/>
  <c r="E214" i="7"/>
  <c r="D214" i="7"/>
  <c r="E213" i="7"/>
  <c r="D213" i="7"/>
  <c r="E210" i="7"/>
  <c r="D210" i="7"/>
  <c r="E209" i="7"/>
  <c r="D209" i="7"/>
  <c r="E199" i="7"/>
  <c r="D199" i="7"/>
  <c r="E198" i="7"/>
  <c r="D198" i="7"/>
  <c r="E197" i="7"/>
  <c r="D197" i="7"/>
  <c r="E196" i="7"/>
  <c r="D196" i="7"/>
  <c r="E194" i="7"/>
  <c r="D194" i="7"/>
  <c r="E193" i="7"/>
  <c r="D193" i="7"/>
  <c r="E192" i="7"/>
  <c r="D192" i="7"/>
  <c r="E191" i="7"/>
  <c r="D191" i="7"/>
  <c r="E162" i="7"/>
  <c r="D162" i="7"/>
  <c r="E154" i="7"/>
  <c r="D154" i="7"/>
  <c r="E153" i="7"/>
  <c r="D153" i="7"/>
  <c r="E152" i="7"/>
  <c r="D152" i="7"/>
  <c r="E150" i="7"/>
  <c r="D150" i="7"/>
  <c r="E149" i="7"/>
  <c r="D149" i="7"/>
  <c r="E148" i="7"/>
  <c r="D148" i="7"/>
  <c r="E147" i="7"/>
  <c r="D147" i="7"/>
  <c r="E146" i="7"/>
  <c r="D146" i="7"/>
  <c r="E145" i="7"/>
  <c r="D145" i="7"/>
  <c r="E144" i="7"/>
  <c r="D144" i="7"/>
  <c r="E142" i="7"/>
  <c r="D142" i="7"/>
  <c r="E138" i="7"/>
  <c r="D138" i="7"/>
  <c r="E137" i="7"/>
  <c r="D137" i="7"/>
  <c r="E136" i="7"/>
  <c r="D136" i="7"/>
  <c r="E135" i="7"/>
  <c r="D135" i="7"/>
  <c r="E134" i="7"/>
  <c r="D134" i="7"/>
  <c r="E133" i="7"/>
  <c r="D133" i="7"/>
  <c r="E132" i="7"/>
  <c r="D132" i="7"/>
  <c r="E130" i="7"/>
  <c r="D130" i="7"/>
  <c r="E129" i="7"/>
  <c r="D129" i="7"/>
  <c r="E128" i="7"/>
  <c r="D128" i="7"/>
  <c r="E106" i="7"/>
  <c r="D106" i="7"/>
  <c r="E105" i="7"/>
  <c r="D105" i="7"/>
  <c r="E103" i="7"/>
  <c r="D103" i="7"/>
  <c r="E102" i="7"/>
  <c r="D102" i="7"/>
  <c r="E101" i="7"/>
  <c r="D101" i="7"/>
  <c r="E98" i="7"/>
  <c r="D98" i="7"/>
  <c r="E97" i="7"/>
  <c r="D97" i="7"/>
  <c r="E95" i="7"/>
  <c r="D95" i="7"/>
  <c r="E94" i="7"/>
  <c r="D94" i="7"/>
  <c r="E93" i="7"/>
  <c r="D93" i="7"/>
  <c r="E92" i="7"/>
  <c r="D92" i="7"/>
  <c r="E90" i="7"/>
  <c r="D90" i="7"/>
  <c r="E89" i="7"/>
  <c r="D89" i="7"/>
  <c r="E88" i="7"/>
  <c r="D88" i="7"/>
  <c r="E87" i="7"/>
  <c r="D87" i="7"/>
  <c r="E163" i="6"/>
  <c r="D163" i="6"/>
  <c r="E162" i="6"/>
  <c r="D162" i="6"/>
  <c r="D154" i="6"/>
  <c r="E154" i="6"/>
  <c r="E153" i="6"/>
  <c r="D153" i="6"/>
  <c r="D152" i="6"/>
  <c r="E152" i="6"/>
  <c r="D151" i="6"/>
  <c r="E151" i="6"/>
  <c r="E150" i="6"/>
  <c r="D150" i="6"/>
  <c r="E149" i="6"/>
  <c r="D149" i="6"/>
  <c r="E148" i="6"/>
  <c r="D148" i="6"/>
  <c r="E147" i="6"/>
  <c r="D147" i="6"/>
  <c r="E145" i="6"/>
  <c r="D145" i="6"/>
  <c r="E144" i="6"/>
  <c r="D144" i="6"/>
  <c r="E143" i="6"/>
  <c r="D143" i="6"/>
  <c r="D142" i="6"/>
  <c r="E142" i="6"/>
  <c r="E138" i="6"/>
  <c r="D138" i="6"/>
  <c r="E137" i="6"/>
  <c r="D137" i="6"/>
  <c r="E136" i="6"/>
  <c r="D136" i="6"/>
  <c r="D135" i="6"/>
  <c r="E135" i="6"/>
  <c r="E133" i="6"/>
  <c r="D133" i="6"/>
  <c r="E132" i="6"/>
  <c r="D132" i="6"/>
  <c r="E131" i="6"/>
  <c r="D131" i="6"/>
  <c r="D130" i="6"/>
  <c r="E130" i="6"/>
  <c r="E129" i="6"/>
  <c r="D129" i="6"/>
  <c r="E128" i="6"/>
  <c r="D128" i="6"/>
  <c r="E127" i="6"/>
  <c r="D127" i="6"/>
  <c r="E105" i="6"/>
  <c r="D105" i="6"/>
  <c r="E103" i="6"/>
  <c r="D103" i="6"/>
  <c r="D102" i="6"/>
  <c r="E102" i="6"/>
  <c r="E101" i="6"/>
  <c r="D101" i="6"/>
  <c r="E98" i="6"/>
  <c r="D98" i="6"/>
  <c r="E97" i="6"/>
  <c r="D97" i="6"/>
  <c r="D95" i="6"/>
  <c r="E95" i="6"/>
  <c r="E94" i="6"/>
  <c r="D94" i="6"/>
  <c r="D93" i="6"/>
  <c r="E93" i="6"/>
  <c r="E92" i="6"/>
  <c r="D92" i="6"/>
  <c r="E90" i="6"/>
  <c r="D90" i="6"/>
  <c r="B14" i="6"/>
  <c r="B15" i="6"/>
  <c r="B17" i="6"/>
  <c r="B16" i="6"/>
  <c r="E134" i="6"/>
  <c r="D134" i="6"/>
  <c r="E289" i="7"/>
  <c r="D289" i="7"/>
  <c r="H5" i="3"/>
  <c r="B11" i="7"/>
  <c r="H4" i="3"/>
  <c r="B4" i="5"/>
  <c r="B11" i="4"/>
  <c r="B11" i="6"/>
  <c r="E21" i="4" l="1"/>
  <c r="F21" i="4"/>
  <c r="G21" i="4"/>
  <c r="E20" i="4"/>
  <c r="F20" i="4"/>
  <c r="G20" i="4"/>
  <c r="E19" i="4"/>
  <c r="F19" i="4"/>
  <c r="G19" i="4"/>
  <c r="E18" i="4"/>
  <c r="F18" i="4"/>
  <c r="G18" i="4"/>
  <c r="E17" i="4"/>
  <c r="F17" i="4"/>
  <c r="G17" i="4"/>
  <c r="E16" i="4"/>
  <c r="F16" i="4"/>
  <c r="G16" i="4"/>
  <c r="E15" i="4"/>
  <c r="F15" i="4"/>
  <c r="G15" i="4"/>
  <c r="E14" i="4"/>
  <c r="F14" i="4"/>
  <c r="G14" i="4"/>
  <c r="E13" i="4"/>
  <c r="F13" i="4"/>
  <c r="G13" i="4"/>
  <c r="E12" i="4"/>
  <c r="F12" i="4"/>
  <c r="G12" i="4"/>
  <c r="E11" i="4"/>
  <c r="F11" i="4"/>
  <c r="G11" i="4"/>
  <c r="E10" i="4"/>
  <c r="F10" i="4"/>
  <c r="G10" i="4"/>
  <c r="E9" i="4"/>
  <c r="F9" i="4"/>
  <c r="G9" i="4"/>
  <c r="E8" i="4"/>
  <c r="F8" i="4"/>
  <c r="G8" i="4"/>
  <c r="E7" i="4"/>
  <c r="F7" i="4"/>
  <c r="G7" i="4"/>
  <c r="E6" i="4"/>
  <c r="F6" i="4"/>
  <c r="G6"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H21" i="4" l="1"/>
  <c r="H20" i="4"/>
  <c r="H19" i="4"/>
  <c r="H18" i="4"/>
  <c r="H17" i="4"/>
  <c r="H16" i="4"/>
  <c r="H15" i="4"/>
  <c r="H14" i="4"/>
  <c r="H13" i="4"/>
  <c r="H12" i="4"/>
  <c r="H11" i="4"/>
  <c r="H10" i="4"/>
  <c r="H9" i="4"/>
  <c r="H8" i="4"/>
  <c r="H7" i="4"/>
  <c r="H6" i="4"/>
</calcChain>
</file>

<file path=xl/sharedStrings.xml><?xml version="1.0" encoding="utf-8"?>
<sst xmlns="http://schemas.openxmlformats.org/spreadsheetml/2006/main" count="8404" uniqueCount="343">
  <si>
    <t>PISO</t>
  </si>
  <si>
    <t>POSICIONES BÁSICAS Y FUERZA</t>
  </si>
  <si>
    <t>Postura de pie firme</t>
  </si>
  <si>
    <t>Consolidado</t>
  </si>
  <si>
    <t>Proyección</t>
  </si>
  <si>
    <t>Parado de hombros</t>
  </si>
  <si>
    <t>Parado de antebrazos</t>
  </si>
  <si>
    <t>Parado de cabeza</t>
  </si>
  <si>
    <t>Parado de manos en apoyo</t>
  </si>
  <si>
    <t>Parado de Manos</t>
  </si>
  <si>
    <t>Split</t>
  </si>
  <si>
    <t>Squat</t>
  </si>
  <si>
    <t>Equilibrio a un pie (arabesca)</t>
  </si>
  <si>
    <t>L sit</t>
  </si>
  <si>
    <t>Sustentación en Arco</t>
  </si>
  <si>
    <t>Soporte en escuadra endo</t>
  </si>
  <si>
    <t>Kato de fuerza</t>
  </si>
  <si>
    <t>Rodada Kato</t>
  </si>
  <si>
    <t xml:space="preserve">ACROBATICO HACÍA DELANTE </t>
  </si>
  <si>
    <t xml:space="preserve">Rodada adelanté </t>
  </si>
  <si>
    <t>Vuelta de carro</t>
  </si>
  <si>
    <t>Redondilla</t>
  </si>
  <si>
    <t>Resorte a 2 pies</t>
  </si>
  <si>
    <t>Resorte a 1 pie</t>
  </si>
  <si>
    <t>Mortal adelante en C</t>
  </si>
  <si>
    <t xml:space="preserve">Resorte 1 a 2 </t>
  </si>
  <si>
    <t>Mortal adelante en V</t>
  </si>
  <si>
    <t>Mortal extendido</t>
  </si>
  <si>
    <t>Mortal rebote mortal</t>
  </si>
  <si>
    <t xml:space="preserve">Doble mortal en C adelanté </t>
  </si>
  <si>
    <t xml:space="preserve">ACROBATICO HACÍA ATRÁS </t>
  </si>
  <si>
    <t>Rodada atras</t>
  </si>
  <si>
    <t>Rodada atrás a parado de manos</t>
  </si>
  <si>
    <t>Flic flac</t>
  </si>
  <si>
    <t>Doble flic</t>
  </si>
  <si>
    <t>Mortal atras en C desde Redondilla</t>
  </si>
  <si>
    <t>Mortal atras en C desde Flic flac</t>
  </si>
  <si>
    <t>Mortal en V atras</t>
  </si>
  <si>
    <t>Mortal extendido atras</t>
  </si>
  <si>
    <t>Power flic (Tempo)</t>
  </si>
  <si>
    <t>Doble mortal atrás en C</t>
  </si>
  <si>
    <t xml:space="preserve">ACROBATICO CON GIRO </t>
  </si>
  <si>
    <t>Mortal extendido atras con 1/2 giro</t>
  </si>
  <si>
    <t>Mortal extendido atras con un giro</t>
  </si>
  <si>
    <t>Mortal agrupado adelanté con 1/2 giro</t>
  </si>
  <si>
    <t>Mortal agrupado adelanté con 1 giro</t>
  </si>
  <si>
    <t>Varani</t>
  </si>
  <si>
    <t>Mortal extendido adelanté con 1 giro</t>
  </si>
  <si>
    <t>Mortal extendido atras con 1 1/2 giro</t>
  </si>
  <si>
    <t>Mortal extendido atrás con 2 giros</t>
  </si>
  <si>
    <t>Mortal extendido adelante con 1 1/2 giro</t>
  </si>
  <si>
    <t>ARZON</t>
  </si>
  <si>
    <t>HONGO</t>
  </si>
  <si>
    <t>Posturas básicas de apoyo e impulso</t>
  </si>
  <si>
    <t>1/4 de circulo</t>
  </si>
  <si>
    <t>1/2 de circulo</t>
  </si>
  <si>
    <t>3/4 de circulo</t>
  </si>
  <si>
    <t>1 circulo</t>
  </si>
  <si>
    <t>2 circulos</t>
  </si>
  <si>
    <t>3 circulos</t>
  </si>
  <si>
    <t>4 circulos</t>
  </si>
  <si>
    <t>5 circulos</t>
  </si>
  <si>
    <t>Salida finlandesa</t>
  </si>
  <si>
    <t>Splindle</t>
  </si>
  <si>
    <t>Thomas Flair</t>
  </si>
  <si>
    <t>Cheka</t>
  </si>
  <si>
    <t xml:space="preserve">Stöckli </t>
  </si>
  <si>
    <t>Splindle con thomas</t>
  </si>
  <si>
    <t>Rusa</t>
  </si>
  <si>
    <t>CABALLO SIN ARZON</t>
  </si>
  <si>
    <t>1/2 Circulo</t>
  </si>
  <si>
    <t>Circulo</t>
  </si>
  <si>
    <t>1/4 de Kehr</t>
  </si>
  <si>
    <t>1/2 Splindle</t>
  </si>
  <si>
    <t>1/2 Magyar</t>
  </si>
  <si>
    <t>1/2 Sivado</t>
  </si>
  <si>
    <t>Doble rusa</t>
  </si>
  <si>
    <t>Magyar</t>
  </si>
  <si>
    <t>Sivado</t>
  </si>
  <si>
    <t>CABALLO CON ARZONES</t>
  </si>
  <si>
    <t>Balanceo pendular</t>
  </si>
  <si>
    <t>Tijera falsa</t>
  </si>
  <si>
    <t>Tijera</t>
  </si>
  <si>
    <t>Circulo sobre arzones</t>
  </si>
  <si>
    <t xml:space="preserve">Tijera circulo </t>
  </si>
  <si>
    <t>Bajada lateral</t>
  </si>
  <si>
    <t xml:space="preserve">Circulo en grupa </t>
  </si>
  <si>
    <t>Circulo lateral en grupa</t>
  </si>
  <si>
    <t>Circulo frontal en grupa</t>
  </si>
  <si>
    <t>1/4 de Kehr en grupa</t>
  </si>
  <si>
    <t>1/2 Splindle en grupa</t>
  </si>
  <si>
    <t>Cheka sobre arzones</t>
  </si>
  <si>
    <t>Stöckli sobre arzones</t>
  </si>
  <si>
    <t>Rusa en grupa</t>
  </si>
  <si>
    <t>Doble rusa en grupa</t>
  </si>
  <si>
    <t>Circulo sobre un arzon</t>
  </si>
  <si>
    <t xml:space="preserve">Magyar </t>
  </si>
  <si>
    <t>Roth</t>
  </si>
  <si>
    <t>Salida Kolyvanov</t>
  </si>
  <si>
    <t>Tongfei</t>
  </si>
  <si>
    <t>Splindle en grupa (Magyar)</t>
  </si>
  <si>
    <t>Wugonian</t>
  </si>
  <si>
    <t>Sohn</t>
  </si>
  <si>
    <t>Bezugo</t>
  </si>
  <si>
    <t>ANILLOS</t>
  </si>
  <si>
    <t>ELEMENTOS DE FUERZA</t>
  </si>
  <si>
    <t>L sit en suspension</t>
  </si>
  <si>
    <t>Dominada</t>
  </si>
  <si>
    <t>Vela</t>
  </si>
  <si>
    <t xml:space="preserve">Plancha dorsal </t>
  </si>
  <si>
    <t>Hercules</t>
  </si>
  <si>
    <t>L sit en apoyo</t>
  </si>
  <si>
    <t>Plancha agrupada</t>
  </si>
  <si>
    <t>L sit a Parado de manos (Kato)</t>
  </si>
  <si>
    <t xml:space="preserve">Semidisloque desde suspension estática </t>
  </si>
  <si>
    <t>Escuadra abierta</t>
  </si>
  <si>
    <t>Plancha abierta (Pajaro)</t>
  </si>
  <si>
    <t>Cristo</t>
  </si>
  <si>
    <t>Plancha cerrada</t>
  </si>
  <si>
    <t>Hirondell (Maltesse)</t>
  </si>
  <si>
    <t>ELEMENTOS DE VUELO</t>
  </si>
  <si>
    <t>Balanceos a 45°</t>
  </si>
  <si>
    <t xml:space="preserve">Balanceos a la horizontal </t>
  </si>
  <si>
    <t>Balanceos por encima de la horizontal</t>
  </si>
  <si>
    <t>Inglesa a L sit</t>
  </si>
  <si>
    <t>Inlocada</t>
  </si>
  <si>
    <t>Semidisloque desde sandwich</t>
  </si>
  <si>
    <t>Dislocada</t>
  </si>
  <si>
    <t xml:space="preserve">Salida de mortal extendido atrás </t>
  </si>
  <si>
    <t>Azteca</t>
  </si>
  <si>
    <t>Kip L sit</t>
  </si>
  <si>
    <t>Subida de pecho</t>
  </si>
  <si>
    <t xml:space="preserve">Salida de mortal agrupado hacia adelante </t>
  </si>
  <si>
    <t xml:space="preserve">Salida de doble mortal agrupado hacía atrás </t>
  </si>
  <si>
    <t>Molino</t>
  </si>
  <si>
    <t>Gigante</t>
  </si>
  <si>
    <t>Deltchev</t>
  </si>
  <si>
    <t>Honma</t>
  </si>
  <si>
    <t>Salida de multiple mortal</t>
  </si>
  <si>
    <t>Yamawaki</t>
  </si>
  <si>
    <t>Jonasson</t>
  </si>
  <si>
    <t>SALTO DE CABALLO</t>
  </si>
  <si>
    <t>ACCIONES SIN TABLA DE SALTO</t>
  </si>
  <si>
    <t>Carrera</t>
  </si>
  <si>
    <t xml:space="preserve">Entrada a botador </t>
  </si>
  <si>
    <t xml:space="preserve">Salto Vertical </t>
  </si>
  <si>
    <t>Salto del tigre</t>
  </si>
  <si>
    <t>Salto mortal agrupado</t>
  </si>
  <si>
    <t>Resorte a caer en placha con altura</t>
  </si>
  <si>
    <t>Resorte a altura</t>
  </si>
  <si>
    <t>SALTOS</t>
  </si>
  <si>
    <t>Resorte de brazos</t>
  </si>
  <si>
    <t>Yamashita</t>
  </si>
  <si>
    <t>Tsukahara agrupada</t>
  </si>
  <si>
    <t>Resorte mortal agrupado</t>
  </si>
  <si>
    <t>Tsukahara carpada</t>
  </si>
  <si>
    <t>Tsukahara extendida</t>
  </si>
  <si>
    <t>Tsukahara con medio giro</t>
  </si>
  <si>
    <t xml:space="preserve">Entrada de kasa a mortal agrup adelanté </t>
  </si>
  <si>
    <t>Kasamatsu</t>
  </si>
  <si>
    <t>Kasamatsu extendido</t>
  </si>
  <si>
    <t>Resorte mortal carpado</t>
  </si>
  <si>
    <t>Cuervo</t>
  </si>
  <si>
    <t>Tsukahara con giro y medio</t>
  </si>
  <si>
    <t>Akopian</t>
  </si>
  <si>
    <t>Yourchenko</t>
  </si>
  <si>
    <t>Yourchenko extendido</t>
  </si>
  <si>
    <t>Yourchenko con 1/2 giro</t>
  </si>
  <si>
    <t>Yourchenko con 1 giro</t>
  </si>
  <si>
    <t>Driggs</t>
  </si>
  <si>
    <t>Resorte mortal extendido con giro</t>
  </si>
  <si>
    <t>Roche</t>
  </si>
  <si>
    <t>BARRAS PARALELAS</t>
  </si>
  <si>
    <t xml:space="preserve">ELEMENTOS EN SUSPENSION </t>
  </si>
  <si>
    <t>Vuelos a 45°</t>
  </si>
  <si>
    <t xml:space="preserve">Vuelos a la horizontal </t>
  </si>
  <si>
    <t xml:space="preserve">Vuelos por encima de la paralela </t>
  </si>
  <si>
    <t>Vuelo a soporte braquial</t>
  </si>
  <si>
    <t>Alemana a L sit (kip)</t>
  </si>
  <si>
    <t>Moy braquial</t>
  </si>
  <si>
    <t>Moy al apoyo</t>
  </si>
  <si>
    <t>Salida de mortal extendido por punta</t>
  </si>
  <si>
    <t>Balleston aleman</t>
  </si>
  <si>
    <t>Felgue a suspension</t>
  </si>
  <si>
    <t>Felgue a Lsit</t>
  </si>
  <si>
    <t>Salida de doble mortal agrupado por punta</t>
  </si>
  <si>
    <t>Tipelt</t>
  </si>
  <si>
    <t>Felgue a manos</t>
  </si>
  <si>
    <t>Bhavsar</t>
  </si>
  <si>
    <t>Gigante diamidov</t>
  </si>
  <si>
    <t>ELEMENTOS EN APOYO</t>
  </si>
  <si>
    <t>Soporte extendido</t>
  </si>
  <si>
    <t xml:space="preserve">Plancha agrupada </t>
  </si>
  <si>
    <t>Parada de manos</t>
  </si>
  <si>
    <t>Vuelos a parado de manos</t>
  </si>
  <si>
    <t>L sit a parado de manos (Kato)</t>
  </si>
  <si>
    <t>Salida frontal a medio giro</t>
  </si>
  <si>
    <t>Parado de manos a descenso braquial</t>
  </si>
  <si>
    <t>Cambio sencillo</t>
  </si>
  <si>
    <t>Cambio interno</t>
  </si>
  <si>
    <t xml:space="preserve">Salida de mortal agrupado hacia adelanté </t>
  </si>
  <si>
    <t xml:space="preserve">Salida de mortal agrupado hacia atrás </t>
  </si>
  <si>
    <t>Parado de manos sobre una barra</t>
  </si>
  <si>
    <t>Cambio completo sobre una barra</t>
  </si>
  <si>
    <t>Stutkhere</t>
  </si>
  <si>
    <t>Diamidov</t>
  </si>
  <si>
    <t xml:space="preserve">Salida de dobles mortales adelanté o atrás </t>
  </si>
  <si>
    <t>Healy</t>
  </si>
  <si>
    <t>Peters</t>
  </si>
  <si>
    <t>Makuts</t>
  </si>
  <si>
    <t>Diamidov con medio</t>
  </si>
  <si>
    <t>Gatson</t>
  </si>
  <si>
    <t>ELEMENTOS EN APOYO BRAQUIAL</t>
  </si>
  <si>
    <t>Subida de pecho desde la parada de manos</t>
  </si>
  <si>
    <t>Balleston aleman braquial a inglesa</t>
  </si>
  <si>
    <t>Corte frontal a endo a manos</t>
  </si>
  <si>
    <t>Corte posterior a L sit</t>
  </si>
  <si>
    <t xml:space="preserve">Impulso a manos desde braquial </t>
  </si>
  <si>
    <t>Honma braquial</t>
  </si>
  <si>
    <t>Honma (Yamawaki)</t>
  </si>
  <si>
    <t>Braquial a Diamidov</t>
  </si>
  <si>
    <t xml:space="preserve">Braquial a Stutkhere </t>
  </si>
  <si>
    <t>BARRA FIJA</t>
  </si>
  <si>
    <t>ELEMENTOS DE VUELO Y SOLTADAS</t>
  </si>
  <si>
    <t>Soporte de colgado</t>
  </si>
  <si>
    <t>Cambios de tomas en suspension</t>
  </si>
  <si>
    <t>Balanceos por encima de la barra</t>
  </si>
  <si>
    <t>Fly agrupado desde balanceo</t>
  </si>
  <si>
    <t>3/4  de gigante</t>
  </si>
  <si>
    <t>3/4 de molino</t>
  </si>
  <si>
    <t>Salida Fly extendido desde balanceo</t>
  </si>
  <si>
    <t xml:space="preserve">Gigante </t>
  </si>
  <si>
    <t>Salida Fly extendido desde gigante</t>
  </si>
  <si>
    <t>Cambio directo</t>
  </si>
  <si>
    <t>Salida de doble mortal atrás en C</t>
  </si>
  <si>
    <t>Gigante saltado</t>
  </si>
  <si>
    <t>Voronin</t>
  </si>
  <si>
    <t>Tkachev</t>
  </si>
  <si>
    <t>Gienger</t>
  </si>
  <si>
    <t>Quast</t>
  </si>
  <si>
    <t>Tkachev en V (Samiloglu)</t>
  </si>
  <si>
    <t>Zou li min</t>
  </si>
  <si>
    <t>Jager</t>
  </si>
  <si>
    <t>Kovacs</t>
  </si>
  <si>
    <t>Tkachev extendido</t>
  </si>
  <si>
    <t>Kolman</t>
  </si>
  <si>
    <t>Cassina</t>
  </si>
  <si>
    <t>Gaylord</t>
  </si>
  <si>
    <t>ACERCAMIENTO A LA BARRA</t>
  </si>
  <si>
    <t xml:space="preserve">Subida de estómago </t>
  </si>
  <si>
    <t>Descolgada</t>
  </si>
  <si>
    <t xml:space="preserve">Vuelta atrás </t>
  </si>
  <si>
    <t>Alemana a impulso</t>
  </si>
  <si>
    <t>Impulso a parada de manos</t>
  </si>
  <si>
    <t xml:space="preserve">Alemana a la horizontal </t>
  </si>
  <si>
    <t>Salvada a manos</t>
  </si>
  <si>
    <t>Alemana a parada de manos</t>
  </si>
  <si>
    <t xml:space="preserve">Salvada desdé gigante </t>
  </si>
  <si>
    <t>Endo</t>
  </si>
  <si>
    <t>Stalder</t>
  </si>
  <si>
    <t>Endo cerrado</t>
  </si>
  <si>
    <t>Adler</t>
  </si>
  <si>
    <t>Adler con medio</t>
  </si>
  <si>
    <t>Stalder cerrado</t>
  </si>
  <si>
    <t>Piatti</t>
  </si>
  <si>
    <t>Adler con giro</t>
  </si>
  <si>
    <t>ESTADOS DE EVALUACIÓN</t>
  </si>
  <si>
    <t>APARATOS</t>
  </si>
  <si>
    <t>CRITERIO</t>
  </si>
  <si>
    <t>N/A</t>
  </si>
  <si>
    <t>N/A = no aplica / aún no corresponde</t>
  </si>
  <si>
    <t>ACROBATICO HACÍA DELANTE</t>
  </si>
  <si>
    <t>Proyección = habilidad prevista para desarrollar</t>
  </si>
  <si>
    <t>En proceso</t>
  </si>
  <si>
    <t>ACROBATICO HACÍA ATRÁS</t>
  </si>
  <si>
    <t>En proceso = habilidad trabajada pero no consolidada</t>
  </si>
  <si>
    <t>ACROBATICO CON GIRO</t>
  </si>
  <si>
    <t>Consolidado = habilidad dominada según el criterio del entrenador</t>
  </si>
  <si>
    <t>ELEMENTOS EN SUSPENSION</t>
  </si>
  <si>
    <t>CONSOLIDADO GENERAL DE NORMATIVOS AKC</t>
  </si>
  <si>
    <t>Atleta</t>
  </si>
  <si>
    <t>Elementos evaluados</t>
  </si>
  <si>
    <t>Consolidados</t>
  </si>
  <si>
    <t>% dominio</t>
  </si>
  <si>
    <t>Seguimiento</t>
  </si>
  <si>
    <t>FICHA INDIVIDUAL DE EVALUACIÓN</t>
  </si>
  <si>
    <t>Atleta:</t>
  </si>
  <si>
    <t>RESUMEN</t>
  </si>
  <si>
    <t>Aparato</t>
  </si>
  <si>
    <t>DETALLE DE ELEMENTOS</t>
  </si>
  <si>
    <t>Elemento</t>
  </si>
  <si>
    <t>Estado</t>
  </si>
  <si>
    <t>Rodada adelanté</t>
  </si>
  <si>
    <t>Resorte 1 a 2</t>
  </si>
  <si>
    <t>Doble mortal en C adelanté</t>
  </si>
  <si>
    <t>Stöckli</t>
  </si>
  <si>
    <t>Tijera circulo</t>
  </si>
  <si>
    <t>Circulo en grupa</t>
  </si>
  <si>
    <t>Plancha dorsal</t>
  </si>
  <si>
    <t>Semidisloque desde suspension estática</t>
  </si>
  <si>
    <t>Balanceos a la horizontal</t>
  </si>
  <si>
    <t>Salida de mortal extendido atrás</t>
  </si>
  <si>
    <t>Salida de mortal agrupado hacia adelante</t>
  </si>
  <si>
    <t>Salida de doble mortal agrupado hacía atrás</t>
  </si>
  <si>
    <t>Entrada a botador</t>
  </si>
  <si>
    <t>Salto Vertical</t>
  </si>
  <si>
    <t>Entrada de kasa a mortal agrup adelanté</t>
  </si>
  <si>
    <t>Vuelos a la horizontal</t>
  </si>
  <si>
    <t>Vuelos por encima de la paralela</t>
  </si>
  <si>
    <t>Salida de mortal agrupado hacia adelanté</t>
  </si>
  <si>
    <t>Salida de mortal agrupado hacia atrás</t>
  </si>
  <si>
    <t>Salida de dobles mortales adelanté o atrás</t>
  </si>
  <si>
    <t>Impulso a manos desde braquial</t>
  </si>
  <si>
    <t>Braquial a Stutkhere</t>
  </si>
  <si>
    <t>Subida de estómago</t>
  </si>
  <si>
    <t>Vuelta atrás</t>
  </si>
  <si>
    <t>Alemana a la horizontal</t>
  </si>
  <si>
    <t>Salvada desdé gigante</t>
  </si>
  <si>
    <t>INDICADORES DE SEGUIMIENTO AKC</t>
  </si>
  <si>
    <t>Atletas evaluados</t>
  </si>
  <si>
    <t>Total</t>
  </si>
  <si>
    <t>% dominio promedio</t>
  </si>
  <si>
    <t>Elementos consolidados</t>
  </si>
  <si>
    <t>Elementos en proceso</t>
  </si>
  <si>
    <t>DOMINIO PROMEDIO POR APARATO</t>
  </si>
  <si>
    <t xml:space="preserve">Consolidado = 🟩
Proyeccion = 🟦
En Proceso = 🟨
No Adquirido = 🟥
</t>
  </si>
  <si>
    <t>Angel Babun</t>
  </si>
  <si>
    <t>Felix Mogollon</t>
  </si>
  <si>
    <t>ESTADO → CICLO DE CARGA</t>
  </si>
  <si>
    <t>Ciclo de carga</t>
  </si>
  <si>
    <t>Enfoque</t>
  </si>
  <si>
    <t>Microciclo</t>
  </si>
  <si>
    <t>Mantener / perfeccionar</t>
  </si>
  <si>
    <t>Mesociclo</t>
  </si>
  <si>
    <t>Desarrollar / consolidar</t>
  </si>
  <si>
    <t>Macrociclo</t>
  </si>
  <si>
    <t>Iniciar / aprender</t>
  </si>
  <si>
    <t>No aplica</t>
  </si>
  <si>
    <t>Sin carga</t>
  </si>
  <si>
    <t>EVALUACIÓN DE NORMATIVOS Y CICLOS DE CARGA</t>
  </si>
  <si>
    <t>Ciclo prioritario</t>
  </si>
  <si>
    <t>CICLOS DE CARGA</t>
  </si>
  <si>
    <t>Elementos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</si>
</sst>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rgb="FFFFFFFF"/>
      <name val="Aptos Narrow"/>
    </font>
    <font>
      <b/>
      <sz val="11"/>
      <color rgb="FF17365D"/>
      <name val="Aptos Narrow"/>
    </font>
    <font>
      <b/>
      <sz val="16"/>
      <color rgb="FFFFFFFF"/>
      <name val="Aptos Narrow"/>
    </font>
    <font>
      <b/>
      <sz val="11"/>
      <name val="Aptos Narrow"/>
    </font>
    <font>
      <b/>
      <sz val="14"/>
      <name val="Aptos Narrow"/>
    </font>
    <font>
      <sz val="14"/>
      <color theme="1"/>
      <name val="Aptos Narrow (Cuerpo)"/>
    </font>
    <font>
      <sz val="16"/>
      <color theme="1"/>
      <name val="Aptos Narrow"/>
      <scheme val="minor"/>
    </font>
    <font>
      <b/>
      <sz val="14"/>
      <color rgb="FF17365D"/>
      <name val="Aptos Narrow (Cuerpo)"/>
    </font>
    <font>
      <b/>
      <sz val="11"/>
      <color theme="1"/>
      <name val="Aptos Narrow"/>
      <scheme val="minor"/>
    </font>
    <font>
      <b/>
      <sz val="11"/>
      <color theme="1"/>
      <name val="Aptos Narrow"/>
      <family val="2"/>
      <scheme val="minor"/>
    </font>
  </fonts>
  <fills count="12">
    <fill>
      <patternFill patternType="none"/>
    </fill>
    <fill>
      <patternFill patternType="gray125"/>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theme="4"/>
        <bgColor indexed="64"/>
      </patternFill>
    </fill>
    <fill>
      <patternFill patternType="solid">
        <fgColor theme="2" tint="-0.499984740745262"/>
        <bgColor indexed="64"/>
      </patternFill>
    </fill>
    <fill>
      <patternFill patternType="solid">
        <fgColor rgb="FF17365D"/>
      </patternFill>
    </fill>
    <fill>
      <patternFill patternType="solid">
        <fgColor rgb="FFF2F2F2"/>
      </patternFill>
    </fill>
    <fill>
      <patternFill patternType="solid">
        <fgColor rgb="FF2F75B5"/>
      </patternFill>
    </fill>
    <fill>
      <patternFill patternType="solid">
        <fgColor rgb="FFD9EAF7"/>
      </patternFill>
    </fill>
  </fills>
  <borders count="24">
    <border>
      <left/>
      <right/>
      <top/>
      <bottom/>
      <diagonal/>
    </border>
    <border>
      <left style="thin">
        <color rgb="FF505050"/>
      </left>
      <right/>
      <top style="thin">
        <color rgb="FF505050"/>
      </top>
      <bottom style="thin">
        <color rgb="FF505050"/>
      </bottom>
      <diagonal/>
    </border>
    <border>
      <left/>
      <right style="thin">
        <color rgb="FF505050"/>
      </right>
      <top/>
      <bottom/>
      <diagonal/>
    </border>
    <border>
      <left style="medium">
        <color rgb="FF505050"/>
      </left>
      <right style="thin">
        <color rgb="FF505050"/>
      </right>
      <top/>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
      <left style="thin">
        <color rgb="FF505050"/>
      </left>
      <right style="thin">
        <color rgb="FF505050"/>
      </right>
      <top style="thin">
        <color rgb="FF50505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505050"/>
      </right>
      <top style="medium">
        <color indexed="64"/>
      </top>
      <bottom style="thin">
        <color rgb="FF505050"/>
      </bottom>
      <diagonal/>
    </border>
    <border>
      <left style="thin">
        <color rgb="FF505050"/>
      </left>
      <right/>
      <top style="medium">
        <color indexed="64"/>
      </top>
      <bottom style="thin">
        <color rgb="FF505050"/>
      </bottom>
      <diagonal/>
    </border>
    <border>
      <left style="thin">
        <color rgb="FFB7B7B7"/>
      </left>
      <right style="thin">
        <color rgb="FFB7B7B7"/>
      </right>
      <top style="medium">
        <color indexed="64"/>
      </top>
      <bottom style="thin">
        <color rgb="FFB7B7B7"/>
      </bottom>
      <diagonal/>
    </border>
    <border>
      <left style="thin">
        <color rgb="FFB7B7B7"/>
      </left>
      <right style="medium">
        <color indexed="64"/>
      </right>
      <top style="medium">
        <color indexed="64"/>
      </top>
      <bottom style="thin">
        <color rgb="FFB7B7B7"/>
      </bottom>
      <diagonal/>
    </border>
    <border>
      <left style="medium">
        <color indexed="64"/>
      </left>
      <right style="thin">
        <color rgb="FF505050"/>
      </right>
      <top/>
      <bottom/>
      <diagonal/>
    </border>
    <border>
      <left style="thin">
        <color rgb="FFB7B7B7"/>
      </left>
      <right style="medium">
        <color indexed="64"/>
      </right>
      <top style="thin">
        <color rgb="FFB7B7B7"/>
      </top>
      <bottom style="thin">
        <color rgb="FFB7B7B7"/>
      </bottom>
      <diagonal/>
    </border>
    <border>
      <left style="medium">
        <color indexed="64"/>
      </left>
      <right style="thin">
        <color rgb="FF505050"/>
      </right>
      <top/>
      <bottom style="medium">
        <color indexed="64"/>
      </bottom>
      <diagonal/>
    </border>
    <border>
      <left style="thin">
        <color rgb="FF505050"/>
      </left>
      <right/>
      <top style="thin">
        <color rgb="FF505050"/>
      </top>
      <bottom style="medium">
        <color indexed="64"/>
      </bottom>
      <diagonal/>
    </border>
    <border>
      <left style="thin">
        <color rgb="FFB7B7B7"/>
      </left>
      <right style="thin">
        <color rgb="FFB7B7B7"/>
      </right>
      <top style="thin">
        <color rgb="FFB7B7B7"/>
      </top>
      <bottom style="medium">
        <color indexed="64"/>
      </bottom>
      <diagonal/>
    </border>
    <border>
      <left style="thin">
        <color rgb="FFB7B7B7"/>
      </left>
      <right style="medium">
        <color indexed="64"/>
      </right>
      <top style="thin">
        <color rgb="FFB7B7B7"/>
      </top>
      <bottom style="medium">
        <color indexed="64"/>
      </bottom>
      <diagonal/>
    </border>
    <border>
      <left/>
      <right/>
      <top/>
      <bottom style="medium">
        <color rgb="FF505050"/>
      </bottom>
      <diagonal/>
    </border>
    <border>
      <left style="thin">
        <color rgb="FF505050"/>
      </left>
      <right style="thin">
        <color rgb="FF505050"/>
      </right>
      <top/>
      <bottom style="thin">
        <color rgb="FF505050"/>
      </bottom>
      <diagonal/>
    </border>
    <border>
      <left style="thin">
        <color rgb="FF505050"/>
      </left>
      <right style="thin">
        <color rgb="FF505050"/>
      </right>
      <top/>
      <bottom/>
      <diagonal/>
    </border>
    <border>
      <left style="medium">
        <color indexed="64"/>
      </left>
      <right style="thin">
        <color rgb="FF505050"/>
      </right>
      <top style="medium">
        <color indexed="64"/>
      </top>
      <bottom style="medium">
        <color indexed="64"/>
      </bottom>
      <diagonal/>
    </border>
  </borders>
  <cellStyleXfs count="1">
    <xf numFmtId="0" fontId="0" fillId="0" borderId="0"/>
  </cellStyleXfs>
  <cellXfs count="63">
    <xf numFmtId="0" fontId="0" fillId="0" borderId="0" xfId="0"/>
    <xf numFmtId="0" fontId="0" fillId="0" borderId="0" xfId="0" applyAlignment="1">
      <alignment horizontal="center"/>
    </xf>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0" borderId="0" xfId="0" applyAlignment="1">
      <alignment horizontal="left" vertical="center" textRotation="90"/>
    </xf>
    <xf numFmtId="0" fontId="0" fillId="0" borderId="4" xfId="0" applyBorder="1" applyAlignment="1">
      <alignment horizontal="center" vertical="center"/>
    </xf>
    <xf numFmtId="0" fontId="1" fillId="8" borderId="0" xfId="0" applyFont="1" applyFill="1"/>
    <xf numFmtId="0" fontId="1" fillId="10" borderId="0" xfId="0" applyFont="1" applyFill="1"/>
    <xf numFmtId="0" fontId="0" fillId="0" borderId="5" xfId="0" applyBorder="1"/>
    <xf numFmtId="9" fontId="0" fillId="0" borderId="5" xfId="0" applyNumberFormat="1" applyBorder="1"/>
    <xf numFmtId="0" fontId="4" fillId="0" borderId="0" xfId="0" applyFont="1"/>
    <xf numFmtId="9" fontId="0" fillId="0" borderId="0" xfId="0" applyNumberFormat="1"/>
    <xf numFmtId="0" fontId="5" fillId="11" borderId="0" xfId="0" applyFont="1" applyFill="1"/>
    <xf numFmtId="9" fontId="5" fillId="11" borderId="0" xfId="0" applyNumberFormat="1" applyFont="1" applyFill="1"/>
    <xf numFmtId="0" fontId="7" fillId="0" borderId="0" xfId="0" applyFont="1" applyAlignment="1">
      <alignment horizontal="center" vertical="top" wrapText="1"/>
    </xf>
    <xf numFmtId="0" fontId="6" fillId="0" borderId="0" xfId="0" applyFont="1" applyAlignment="1">
      <alignment horizontal="left" vertical="center" textRotation="90"/>
    </xf>
    <xf numFmtId="0" fontId="6" fillId="0" borderId="0" xfId="0" applyFont="1" applyAlignment="1">
      <alignment textRotation="90"/>
    </xf>
    <xf numFmtId="0" fontId="1" fillId="8" borderId="6" xfId="0" applyFont="1" applyFill="1" applyBorder="1" applyAlignment="1">
      <alignment horizontal="center" vertical="center" textRotation="90"/>
    </xf>
    <xf numFmtId="0" fontId="0" fillId="2" borderId="11" xfId="0" applyFill="1"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2" borderId="17" xfId="0" applyFill="1" applyBorder="1" applyAlignment="1">
      <alignment horizontal="center"/>
    </xf>
    <xf numFmtId="0" fontId="0" fillId="0" borderId="18" xfId="0" applyBorder="1" applyAlignment="1">
      <alignment horizontal="center" vertical="center"/>
    </xf>
    <xf numFmtId="0" fontId="0" fillId="0" borderId="19" xfId="0" applyBorder="1" applyAlignment="1">
      <alignment horizontal="center" vertical="center"/>
    </xf>
    <xf numFmtId="0" fontId="6" fillId="0" borderId="20" xfId="0" applyFont="1" applyBorder="1" applyAlignment="1">
      <alignment horizontal="center" textRotation="90"/>
    </xf>
    <xf numFmtId="0" fontId="0" fillId="0" borderId="20" xfId="0" applyBorder="1"/>
    <xf numFmtId="0" fontId="0" fillId="0" borderId="21" xfId="0" applyBorder="1"/>
    <xf numFmtId="0" fontId="0" fillId="3" borderId="11" xfId="0" applyFill="1" applyBorder="1" applyAlignment="1">
      <alignment horizontal="center"/>
    </xf>
    <xf numFmtId="0" fontId="0" fillId="3" borderId="17" xfId="0" applyFill="1" applyBorder="1" applyAlignment="1">
      <alignment horizontal="center"/>
    </xf>
    <xf numFmtId="0" fontId="6" fillId="0" borderId="0" xfId="0" applyFont="1" applyAlignment="1">
      <alignment horizontal="center" textRotation="90"/>
    </xf>
    <xf numFmtId="0" fontId="0" fillId="0" borderId="22" xfId="0" applyBorder="1"/>
    <xf numFmtId="0" fontId="0" fillId="4" borderId="11" xfId="0" applyFill="1" applyBorder="1" applyAlignment="1">
      <alignment horizontal="center"/>
    </xf>
    <xf numFmtId="0" fontId="0" fillId="4" borderId="17" xfId="0" applyFill="1" applyBorder="1" applyAlignment="1">
      <alignment horizontal="center"/>
    </xf>
    <xf numFmtId="0" fontId="0" fillId="5" borderId="11" xfId="0" applyFill="1" applyBorder="1" applyAlignment="1">
      <alignment horizontal="center"/>
    </xf>
    <xf numFmtId="0" fontId="0" fillId="5" borderId="17" xfId="0" applyFill="1" applyBorder="1" applyAlignment="1">
      <alignment horizontal="center"/>
    </xf>
    <xf numFmtId="0" fontId="0" fillId="6" borderId="11" xfId="0" applyFill="1" applyBorder="1" applyAlignment="1">
      <alignment horizontal="center"/>
    </xf>
    <xf numFmtId="0" fontId="0" fillId="6" borderId="17" xfId="0" applyFill="1" applyBorder="1" applyAlignment="1">
      <alignment horizontal="center"/>
    </xf>
    <xf numFmtId="0" fontId="0" fillId="7" borderId="11" xfId="0" applyFill="1" applyBorder="1" applyAlignment="1">
      <alignment horizontal="center"/>
    </xf>
    <xf numFmtId="0" fontId="0" fillId="7" borderId="17" xfId="0" applyFill="1" applyBorder="1" applyAlignment="1">
      <alignment horizontal="center"/>
    </xf>
    <xf numFmtId="0" fontId="9" fillId="0" borderId="4" xfId="0" applyFont="1" applyBorder="1" applyAlignment="1">
      <alignment horizontal="center" vertical="center"/>
    </xf>
    <xf numFmtId="0" fontId="10" fillId="0" borderId="0" xfId="0" applyFont="1"/>
    <xf numFmtId="0" fontId="8" fillId="9" borderId="10" xfId="0" applyFont="1" applyFill="1" applyBorder="1" applyAlignment="1">
      <alignment horizontal="center" vertical="center" textRotation="90" wrapText="1"/>
    </xf>
    <xf numFmtId="0" fontId="6" fillId="0" borderId="14" xfId="0" applyFont="1" applyBorder="1" applyAlignment="1">
      <alignment textRotation="90"/>
    </xf>
    <xf numFmtId="0" fontId="6" fillId="0" borderId="16" xfId="0" applyFont="1" applyBorder="1" applyAlignment="1">
      <alignment textRotation="90"/>
    </xf>
    <xf numFmtId="0" fontId="2" fillId="9" borderId="7" xfId="0" applyFont="1" applyFill="1" applyBorder="1" applyAlignment="1">
      <alignment horizontal="center" vertical="center"/>
    </xf>
    <xf numFmtId="0" fontId="2" fillId="9" borderId="8" xfId="0" applyFont="1" applyFill="1" applyBorder="1" applyAlignment="1">
      <alignment horizontal="center" vertical="center"/>
    </xf>
    <xf numFmtId="0" fontId="2" fillId="9" borderId="9" xfId="0" applyFont="1" applyFill="1" applyBorder="1" applyAlignment="1">
      <alignment horizontal="center" vertical="center"/>
    </xf>
    <xf numFmtId="0" fontId="2" fillId="9" borderId="23" xfId="0" applyFont="1" applyFill="1" applyBorder="1" applyAlignment="1">
      <alignment horizontal="center" vertical="center" wrapText="1"/>
    </xf>
    <xf numFmtId="0" fontId="0" fillId="0" borderId="8" xfId="0" applyBorder="1" applyAlignment="1">
      <alignment horizontal="center"/>
    </xf>
    <xf numFmtId="0" fontId="0" fillId="0" borderId="8" xfId="0" applyBorder="1"/>
    <xf numFmtId="0" fontId="0" fillId="0" borderId="9" xfId="0" applyBorder="1"/>
    <xf numFmtId="0" fontId="2" fillId="9" borderId="23" xfId="0" applyFont="1" applyFill="1" applyBorder="1" applyAlignment="1">
      <alignment horizontal="center" vertical="center"/>
    </xf>
    <xf numFmtId="0" fontId="2" fillId="9" borderId="3" xfId="0" applyFont="1" applyFill="1" applyBorder="1" applyAlignment="1">
      <alignment horizontal="center"/>
    </xf>
    <xf numFmtId="0" fontId="0" fillId="0" borderId="0" xfId="0" applyAlignment="1">
      <alignment horizontal="center"/>
    </xf>
    <xf numFmtId="0" fontId="0" fillId="0" borderId="0" xfId="0"/>
    <xf numFmtId="0" fontId="0" fillId="0" borderId="2" xfId="0" applyBorder="1"/>
    <xf numFmtId="0" fontId="1" fillId="10" borderId="0" xfId="0" applyFont="1" applyFill="1"/>
    <xf numFmtId="0" fontId="3" fillId="8" borderId="0" xfId="0" applyFont="1" applyFill="1" applyAlignment="1">
      <alignment horizontal="center"/>
    </xf>
  </cellXfs>
  <cellStyles count="1">
    <cellStyle name="Normal" xfId="0" builtinId="0"/>
  </cellStyles>
  <dxfs count="16">
    <dxf>
      <fill>
        <patternFill patternType="solid">
          <fgColor rgb="FFF2F2F2"/>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F2F2F2"/>
        </patternFill>
      </fill>
    </dxf>
    <dxf>
      <fill>
        <patternFill patternType="solid">
          <fgColor rgb="FFFFF2CC"/>
        </patternFill>
      </fill>
    </dxf>
    <dxf>
      <fill>
        <patternFill patternType="solid">
          <fgColor rgb="FFFCE4D6"/>
        </patternFill>
      </fill>
    </dxf>
    <dxf>
      <fill>
        <patternFill patternType="solid">
          <fgColor rgb="FFE2F0D9"/>
        </patternFill>
      </fill>
    </dxf>
    <dxf>
      <fill>
        <patternFill patternType="solid">
          <fgColor rgb="FFF2F2F2"/>
        </patternFill>
      </fill>
    </dxf>
    <dxf>
      <fill>
        <patternFill patternType="solid">
          <fgColor rgb="FFFFF2CC"/>
        </patternFill>
      </fill>
    </dxf>
    <dxf>
      <fill>
        <patternFill patternType="solid">
          <fgColor rgb="FFFCE4D6"/>
        </patternFill>
      </fill>
    </dxf>
    <dxf>
      <fill>
        <patternFill patternType="solid">
          <fgColor rgb="FFE2F0D9"/>
        </patternFill>
      </fill>
    </dxf>
    <dxf>
      <font>
        <color rgb="FFFF0000"/>
      </font>
      <fill>
        <patternFill patternType="solid">
          <fgColor rgb="FFF2F2F2"/>
          <bgColor rgb="FFFF0000"/>
        </patternFill>
      </fill>
    </dxf>
    <dxf>
      <font>
        <color rgb="FF0070C0"/>
      </font>
      <fill>
        <patternFill patternType="solid">
          <fgColor rgb="FFFFF2CC"/>
          <bgColor rgb="FF0070C0"/>
        </patternFill>
      </fill>
    </dxf>
    <dxf>
      <font>
        <color rgb="FFFFC000"/>
      </font>
      <fill>
        <patternFill patternType="solid">
          <fgColor rgb="FFFCE4D6"/>
          <bgColor rgb="FFFFC000"/>
        </patternFill>
      </fill>
    </dxf>
    <dxf>
      <font>
        <color theme="9"/>
      </font>
      <fill>
        <patternFill patternType="solid">
          <fgColor rgb="FFE2F0D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a:pPr>
            <a:r>
              <a:rPr lang="es-US"/>
              <a:t>Dominio promedio por aparato</a:t>
            </a:r>
          </a:p>
        </c:rich>
      </c:tx>
      <c:overlay val="1"/>
    </c:title>
    <c:autoTitleDeleted val="0"/>
    <c:plotArea>
      <c:layout/>
      <c:barChart>
        <c:barDir val="col"/>
        <c:grouping val="clustered"/>
        <c:varyColors val="1"/>
        <c:ser>
          <c:idx val="0"/>
          <c:order val="0"/>
          <c:tx>
            <c:strRef>
              <c:f>INDICADORES!$B$11</c:f>
              <c:strCache>
                <c:ptCount val="1"/>
                <c:pt idx="0">
                  <c:v>% dominio</c:v>
                </c:pt>
              </c:strCache>
            </c:strRef>
          </c:tx>
          <c:spPr>
            <a:ln>
              <a:prstDash val="solid"/>
            </a:ln>
          </c:spPr>
          <c:invertIfNegative val="1"/>
          <c:dLbls>
            <c:numFmt formatCode="0%" sourceLinked="0"/>
            <c:spPr>
              <a:noFill/>
              <a:ln>
                <a:noFill/>
              </a:ln>
              <a:effectLst/>
            </c:spPr>
            <c:txPr>
              <a:bodyPr wrap="square" lIns="38100" tIns="19050" rIns="38100" bIns="19050" anchor="ctr">
                <a:spAutoFit/>
              </a:bodyPr>
              <a:lstStyle/>
              <a:p>
                <a:pPr>
                  <a:defRPr sz="800"/>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INDICADORES!$A$12:$A$27</c:f>
              <c:strCache>
                <c:ptCount val="16"/>
                <c:pt idx="0">
                  <c:v>POSICIONES BÁSICAS Y FUERZA</c:v>
                </c:pt>
                <c:pt idx="1">
                  <c:v>ACROBATICO HACÍA DELANTE</c:v>
                </c:pt>
                <c:pt idx="2">
                  <c:v>ACROBATICO HACÍA ATRÁS</c:v>
                </c:pt>
                <c:pt idx="3">
                  <c:v>ACROBATICO CON GIRO</c:v>
                </c:pt>
                <c:pt idx="4">
                  <c:v>HONGO</c:v>
                </c:pt>
                <c:pt idx="5">
                  <c:v>CABALLO SIN ARZON</c:v>
                </c:pt>
                <c:pt idx="6">
                  <c:v>CABALLO CON ARZONES</c:v>
                </c:pt>
                <c:pt idx="7">
                  <c:v>ELEMENTOS DE FUERZA</c:v>
                </c:pt>
                <c:pt idx="8">
                  <c:v>ELEMENTOS DE VUELO</c:v>
                </c:pt>
                <c:pt idx="9">
                  <c:v>ACCIONES SIN TABLA DE SALTO</c:v>
                </c:pt>
                <c:pt idx="10">
                  <c:v>SALTOS</c:v>
                </c:pt>
                <c:pt idx="11">
                  <c:v>ELEMENTOS EN SUSPENSION</c:v>
                </c:pt>
                <c:pt idx="12">
                  <c:v>ELEMENTOS EN APOYO</c:v>
                </c:pt>
                <c:pt idx="13">
                  <c:v>ELEMENTOS EN APOYO BRAQUIAL</c:v>
                </c:pt>
                <c:pt idx="14">
                  <c:v>ELEMENTOS DE VUELO Y SOLTADAS</c:v>
                </c:pt>
                <c:pt idx="15">
                  <c:v>ACERCAMIENTO A LA BARRA</c:v>
                </c:pt>
              </c:strCache>
            </c:strRef>
          </c:cat>
          <c:val>
            <c:numRef>
              <c:f>INDICADORES!$B$12:$B$27</c:f>
              <c:numCache>
                <c:formatCode>0%</c:formatCode>
                <c:ptCount val="16"/>
                <c:pt idx="0">
                  <c:v>0.5357142857142857</c:v>
                </c:pt>
                <c:pt idx="1">
                  <c:v>0.72727272727272729</c:v>
                </c:pt>
                <c:pt idx="2">
                  <c:v>0.4</c:v>
                </c:pt>
                <c:pt idx="3">
                  <c:v>0</c:v>
                </c:pt>
                <c:pt idx="4">
                  <c:v>0.8125</c:v>
                </c:pt>
                <c:pt idx="5">
                  <c:v>0.5714285714285714</c:v>
                </c:pt>
                <c:pt idx="6">
                  <c:v>0.11538461538461539</c:v>
                </c:pt>
                <c:pt idx="7">
                  <c:v>0.6</c:v>
                </c:pt>
                <c:pt idx="8">
                  <c:v>0.25</c:v>
                </c:pt>
                <c:pt idx="9">
                  <c:v>1</c:v>
                </c:pt>
                <c:pt idx="10">
                  <c:v>0.18181818181818182</c:v>
                </c:pt>
                <c:pt idx="11">
                  <c:v>0.5</c:v>
                </c:pt>
                <c:pt idx="12">
                  <c:v>0.45833333333333331</c:v>
                </c:pt>
                <c:pt idx="13">
                  <c:v>0.23076923076923078</c:v>
                </c:pt>
                <c:pt idx="14">
                  <c:v>0.5357142857142857</c:v>
                </c:pt>
                <c:pt idx="15">
                  <c:v>0.29411764705882354</c:v>
                </c:pt>
              </c:numCache>
            </c:numRef>
          </c:val>
          <c:extLst>
            <c:ext xmlns:c16="http://schemas.microsoft.com/office/drawing/2014/chart" uri="{C3380CC4-5D6E-409C-BE32-E72D297353CC}">
              <c16:uniqueId val="{00000000-0178-0C4A-AD9E-939F1D725A0F}"/>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low"/>
        <c:txPr>
          <a:bodyPr/>
          <a:lstStyle/>
          <a:p>
            <a:pPr>
              <a:defRPr sz="700"/>
            </a:pPr>
            <a:endParaRPr lang="es-MX"/>
          </a:p>
        </c:txPr>
        <c:crossAx val="100"/>
        <c:crosses val="autoZero"/>
        <c:auto val="1"/>
        <c:lblAlgn val="ctr"/>
        <c:lblOffset val="100"/>
        <c:noMultiLvlLbl val="1"/>
      </c:catAx>
      <c:valAx>
        <c:axId val="100"/>
        <c:scaling>
          <c:orientation val="minMax"/>
          <c:max val="1"/>
          <c:min val="0"/>
        </c:scaling>
        <c:delete val="1"/>
        <c:axPos val="l"/>
        <c:majorGridlines/>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a:pPr>
            <a:r>
              <a:rPr lang="es-US"/>
              <a:t>Distribución de estados</a:t>
            </a:r>
          </a:p>
        </c:rich>
      </c:tx>
      <c:overlay val="0"/>
    </c:title>
    <c:autoTitleDeleted val="0"/>
    <c:plotArea>
      <c:layout>
        <c:manualLayout>
          <c:xMode val="edge"/>
          <c:yMode val="edge"/>
          <c:x val="0.25870305555555556"/>
          <c:y val="0.19203333333333333"/>
          <c:w val="0.3767608333333336"/>
          <c:h val="0.47095104166666701"/>
        </c:manualLayout>
      </c:layout>
      <c:pieChart>
        <c:varyColors val="1"/>
        <c:ser>
          <c:idx val="0"/>
          <c:order val="0"/>
          <c:tx>
            <c:strRef>
              <c:f>INDICADORES!$E$3</c:f>
              <c:strCache>
                <c:ptCount val="1"/>
                <c:pt idx="0">
                  <c:v>Total</c:v>
                </c:pt>
              </c:strCache>
            </c:strRef>
          </c:tx>
          <c:spPr>
            <a:ln>
              <a:prstDash val="solid"/>
            </a:ln>
          </c:spPr>
          <c:dLbls>
            <c:spPr>
              <a:noFill/>
              <a:ln>
                <a:noFill/>
              </a:ln>
              <a:effectLst/>
            </c:spPr>
            <c:dLblPos val="bestFit"/>
            <c:showLegendKey val="1"/>
            <c:showVal val="0"/>
            <c:showCatName val="0"/>
            <c:showSerName val="0"/>
            <c:showPercent val="1"/>
            <c:showBubbleSize val="1"/>
            <c:showLeaderLines val="1"/>
            <c:extLst>
              <c:ext xmlns:c15="http://schemas.microsoft.com/office/drawing/2012/chart" uri="{CE6537A1-D6FC-4f65-9D91-7224C49458BB}"/>
            </c:extLst>
          </c:dLbls>
          <c:cat>
            <c:strRef>
              <c:f>INDICADORES!$D$4:$D$7</c:f>
              <c:strCache>
                <c:ptCount val="4"/>
                <c:pt idx="0">
                  <c:v>N/A</c:v>
                </c:pt>
                <c:pt idx="1">
                  <c:v>Proyección</c:v>
                </c:pt>
                <c:pt idx="2">
                  <c:v>En proceso</c:v>
                </c:pt>
                <c:pt idx="3">
                  <c:v>Consolidado</c:v>
                </c:pt>
              </c:strCache>
            </c:strRef>
          </c:cat>
          <c:val>
            <c:numRef>
              <c:f>INDICADORES!$E$4:$E$7</c:f>
              <c:numCache>
                <c:formatCode>General</c:formatCode>
                <c:ptCount val="4"/>
                <c:pt idx="0">
                  <c:v>3</c:v>
                </c:pt>
                <c:pt idx="1">
                  <c:v>200</c:v>
                </c:pt>
                <c:pt idx="2">
                  <c:v>102</c:v>
                </c:pt>
                <c:pt idx="3">
                  <c:v>223</c:v>
                </c:pt>
              </c:numCache>
            </c:numRef>
          </c:val>
          <c:extLst>
            <c:ext xmlns:c16="http://schemas.microsoft.com/office/drawing/2014/chart" uri="{C3380CC4-5D6E-409C-BE32-E72D297353CC}">
              <c16:uniqueId val="{00000000-59E3-1849-8D6B-02F3489D4D14}"/>
            </c:ext>
          </c:extLst>
        </c:ser>
        <c:dLbls>
          <c:showLegendKey val="1"/>
          <c:showVal val="1"/>
          <c:showCatName val="1"/>
          <c:showSerName val="1"/>
          <c:showPercent val="1"/>
          <c:showBubbleSize val="1"/>
          <c:showLeaderLines val="1"/>
        </c:dLbls>
        <c:firstSliceAng val="0"/>
      </c:pieChart>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9</xdr:row>
      <xdr:rowOff>0</xdr:rowOff>
    </xdr:from>
    <xdr:ext cx="5040000" cy="28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25</xdr:row>
      <xdr:rowOff>0</xdr:rowOff>
    </xdr:from>
    <xdr:ext cx="3600000" cy="288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2121972-3AEA-6348-9295-9987CAA48610}">
  <we:reference id="wa200009404" version="1.0.0.8" store="en-US" storeType="OMEX"/>
  <we:alternateReferences>
    <we:reference id="WA200009404" version="1.0.0.8" store="" storeType="OMEX"/>
  </we:alternateReferences>
  <we:properties>
    <we:property name="claude.fileId" value="&quot;d37d05c1-ce37-48eb-907e-27707a46bb4b&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276"/>
  <sheetViews>
    <sheetView showGridLines="0" tabSelected="1" zoomScale="140" zoomScaleNormal="140" zoomScaleSheetLayoutView="100" workbookViewId="0">
      <pane ySplit="1" topLeftCell="A2" activePane="bottomLeft" state="frozen"/>
      <selection pane="bottomLeft" activeCell="D270" sqref="D270"/>
    </sheetView>
  </sheetViews>
  <sheetFormatPr baseColWidth="10" defaultColWidth="8.83203125" defaultRowHeight="15" x14ac:dyDescent="0.2"/>
  <cols>
    <col min="1" max="1" width="9.5" style="20" customWidth="1"/>
    <col min="2" max="2" width="37.1640625" style="1" bestFit="1" customWidth="1"/>
    <col min="3" max="24" width="3" bestFit="1" customWidth="1"/>
    <col min="25" max="25" width="5.33203125" customWidth="1"/>
    <col min="26" max="26" width="3.5" customWidth="1"/>
    <col min="27" max="27" width="6.6640625" customWidth="1"/>
    <col min="28" max="63" width="3" bestFit="1" customWidth="1"/>
  </cols>
  <sheetData>
    <row r="1" spans="1:26" s="8" customFormat="1" ht="99" customHeight="1" thickBot="1" x14ac:dyDescent="0.25">
      <c r="A1" s="19"/>
      <c r="B1" s="18" t="s">
        <v>325</v>
      </c>
      <c r="C1" s="21" t="s">
        <v>326</v>
      </c>
      <c r="D1" s="21" t="s">
        <v>327</v>
      </c>
      <c r="E1" s="21"/>
      <c r="F1" s="21"/>
      <c r="G1" s="21"/>
      <c r="H1" s="21"/>
      <c r="I1" s="21"/>
      <c r="J1" s="21"/>
      <c r="K1" s="21"/>
      <c r="L1" s="21"/>
      <c r="M1" s="21"/>
      <c r="N1" s="21"/>
      <c r="O1" s="21"/>
      <c r="P1" s="21"/>
      <c r="Q1" s="21"/>
      <c r="R1" s="21"/>
      <c r="S1" s="21"/>
      <c r="T1" s="21"/>
      <c r="U1" s="21"/>
      <c r="V1" s="21"/>
      <c r="W1" s="21"/>
      <c r="X1" s="21"/>
      <c r="Y1" s="21"/>
      <c r="Z1" s="21"/>
    </row>
    <row r="2" spans="1:26" ht="16" thickBot="1" x14ac:dyDescent="0.25">
      <c r="A2" s="49" t="s">
        <v>0</v>
      </c>
      <c r="B2" s="50"/>
      <c r="C2" s="50"/>
      <c r="D2" s="50"/>
      <c r="E2" s="50"/>
      <c r="F2" s="50"/>
      <c r="G2" s="50"/>
      <c r="H2" s="50"/>
      <c r="I2" s="50"/>
      <c r="J2" s="50"/>
      <c r="K2" s="50"/>
      <c r="L2" s="50"/>
      <c r="M2" s="50"/>
      <c r="N2" s="50"/>
      <c r="O2" s="50"/>
      <c r="P2" s="50"/>
      <c r="Q2" s="50"/>
      <c r="R2" s="50"/>
      <c r="S2" s="50"/>
      <c r="T2" s="50"/>
      <c r="U2" s="50"/>
      <c r="V2" s="50"/>
      <c r="W2" s="50"/>
      <c r="X2" s="50"/>
      <c r="Y2" s="50"/>
      <c r="Z2" s="51"/>
    </row>
    <row r="3" spans="1:26" ht="15" customHeight="1" x14ac:dyDescent="0.2">
      <c r="A3" s="46" t="s">
        <v>1</v>
      </c>
      <c r="B3" s="22" t="s">
        <v>2</v>
      </c>
      <c r="C3" s="23" t="s">
        <v>273</v>
      </c>
      <c r="D3" s="23" t="s">
        <v>273</v>
      </c>
      <c r="E3" s="23" t="s">
        <v>4</v>
      </c>
      <c r="F3" s="23" t="s">
        <v>4</v>
      </c>
      <c r="G3" s="23" t="s">
        <v>4</v>
      </c>
      <c r="H3" s="23" t="s">
        <v>4</v>
      </c>
      <c r="I3" s="23" t="s">
        <v>4</v>
      </c>
      <c r="J3" s="23" t="s">
        <v>4</v>
      </c>
      <c r="K3" s="23" t="s">
        <v>4</v>
      </c>
      <c r="L3" s="23" t="s">
        <v>4</v>
      </c>
      <c r="M3" s="23" t="s">
        <v>4</v>
      </c>
      <c r="N3" s="23" t="s">
        <v>4</v>
      </c>
      <c r="O3" s="23" t="s">
        <v>4</v>
      </c>
      <c r="P3" s="23" t="s">
        <v>4</v>
      </c>
      <c r="Q3" s="23" t="s">
        <v>4</v>
      </c>
      <c r="R3" s="23" t="s">
        <v>4</v>
      </c>
      <c r="S3" s="23" t="s">
        <v>4</v>
      </c>
      <c r="T3" s="23" t="s">
        <v>4</v>
      </c>
      <c r="U3" s="23" t="s">
        <v>4</v>
      </c>
      <c r="V3" s="23" t="s">
        <v>4</v>
      </c>
      <c r="W3" s="23" t="s">
        <v>4</v>
      </c>
      <c r="X3" s="23" t="s">
        <v>4</v>
      </c>
      <c r="Y3" s="23" t="s">
        <v>4</v>
      </c>
      <c r="Z3" s="24" t="s">
        <v>4</v>
      </c>
    </row>
    <row r="4" spans="1:26" x14ac:dyDescent="0.2">
      <c r="A4" s="47"/>
      <c r="B4" s="2" t="s">
        <v>5</v>
      </c>
      <c r="C4" s="9" t="s">
        <v>3</v>
      </c>
      <c r="D4" s="9" t="s">
        <v>273</v>
      </c>
      <c r="E4" s="9" t="s">
        <v>4</v>
      </c>
      <c r="F4" s="9" t="s">
        <v>4</v>
      </c>
      <c r="G4" s="9" t="s">
        <v>4</v>
      </c>
      <c r="H4" s="9" t="s">
        <v>4</v>
      </c>
      <c r="I4" s="9" t="s">
        <v>4</v>
      </c>
      <c r="J4" s="9" t="s">
        <v>4</v>
      </c>
      <c r="K4" s="9" t="s">
        <v>4</v>
      </c>
      <c r="L4" s="9" t="s">
        <v>4</v>
      </c>
      <c r="M4" s="9" t="s">
        <v>4</v>
      </c>
      <c r="N4" s="9" t="s">
        <v>4</v>
      </c>
      <c r="O4" s="9" t="s">
        <v>4</v>
      </c>
      <c r="P4" s="9" t="s">
        <v>4</v>
      </c>
      <c r="Q4" s="9" t="s">
        <v>4</v>
      </c>
      <c r="R4" s="9" t="s">
        <v>4</v>
      </c>
      <c r="S4" s="9" t="s">
        <v>4</v>
      </c>
      <c r="T4" s="9" t="s">
        <v>4</v>
      </c>
      <c r="U4" s="9" t="s">
        <v>4</v>
      </c>
      <c r="V4" s="9" t="s">
        <v>4</v>
      </c>
      <c r="W4" s="9" t="s">
        <v>4</v>
      </c>
      <c r="X4" s="9" t="s">
        <v>4</v>
      </c>
      <c r="Y4" s="9" t="s">
        <v>4</v>
      </c>
      <c r="Z4" s="25" t="s">
        <v>4</v>
      </c>
    </row>
    <row r="5" spans="1:26" x14ac:dyDescent="0.2">
      <c r="A5" s="47"/>
      <c r="B5" s="2" t="s">
        <v>6</v>
      </c>
      <c r="C5" s="9" t="s">
        <v>3</v>
      </c>
      <c r="D5" s="9" t="s">
        <v>3</v>
      </c>
      <c r="E5" s="9" t="s">
        <v>4</v>
      </c>
      <c r="F5" s="9" t="s">
        <v>4</v>
      </c>
      <c r="G5" s="9" t="s">
        <v>4</v>
      </c>
      <c r="H5" s="9" t="s">
        <v>4</v>
      </c>
      <c r="I5" s="9" t="s">
        <v>4</v>
      </c>
      <c r="J5" s="9" t="s">
        <v>4</v>
      </c>
      <c r="K5" s="9" t="s">
        <v>4</v>
      </c>
      <c r="L5" s="9" t="s">
        <v>4</v>
      </c>
      <c r="M5" s="9" t="s">
        <v>4</v>
      </c>
      <c r="N5" s="9" t="s">
        <v>4</v>
      </c>
      <c r="O5" s="9" t="s">
        <v>4</v>
      </c>
      <c r="P5" s="9" t="s">
        <v>4</v>
      </c>
      <c r="Q5" s="9" t="s">
        <v>4</v>
      </c>
      <c r="R5" s="9" t="s">
        <v>4</v>
      </c>
      <c r="S5" s="9" t="s">
        <v>4</v>
      </c>
      <c r="T5" s="9" t="s">
        <v>4</v>
      </c>
      <c r="U5" s="9" t="s">
        <v>4</v>
      </c>
      <c r="V5" s="9" t="s">
        <v>4</v>
      </c>
      <c r="W5" s="9" t="s">
        <v>4</v>
      </c>
      <c r="X5" s="9" t="s">
        <v>4</v>
      </c>
      <c r="Y5" s="9" t="s">
        <v>4</v>
      </c>
      <c r="Z5" s="25" t="s">
        <v>4</v>
      </c>
    </row>
    <row r="6" spans="1:26" x14ac:dyDescent="0.2">
      <c r="A6" s="47"/>
      <c r="B6" s="2" t="s">
        <v>7</v>
      </c>
      <c r="C6" s="9" t="s">
        <v>3</v>
      </c>
      <c r="D6" s="9" t="s">
        <v>3</v>
      </c>
      <c r="E6" s="9" t="s">
        <v>4</v>
      </c>
      <c r="F6" s="9" t="s">
        <v>4</v>
      </c>
      <c r="G6" s="9" t="s">
        <v>4</v>
      </c>
      <c r="H6" s="9" t="s">
        <v>4</v>
      </c>
      <c r="I6" s="9" t="s">
        <v>4</v>
      </c>
      <c r="J6" s="9" t="s">
        <v>4</v>
      </c>
      <c r="K6" s="9" t="s">
        <v>4</v>
      </c>
      <c r="L6" s="9" t="s">
        <v>4</v>
      </c>
      <c r="M6" s="9" t="s">
        <v>4</v>
      </c>
      <c r="N6" s="9" t="s">
        <v>4</v>
      </c>
      <c r="O6" s="9" t="s">
        <v>4</v>
      </c>
      <c r="P6" s="9" t="s">
        <v>4</v>
      </c>
      <c r="Q6" s="9" t="s">
        <v>4</v>
      </c>
      <c r="R6" s="9" t="s">
        <v>4</v>
      </c>
      <c r="S6" s="9" t="s">
        <v>4</v>
      </c>
      <c r="T6" s="9" t="s">
        <v>4</v>
      </c>
      <c r="U6" s="9" t="s">
        <v>4</v>
      </c>
      <c r="V6" s="9" t="s">
        <v>4</v>
      </c>
      <c r="W6" s="9" t="s">
        <v>4</v>
      </c>
      <c r="X6" s="9" t="s">
        <v>4</v>
      </c>
      <c r="Y6" s="9" t="s">
        <v>4</v>
      </c>
      <c r="Z6" s="25" t="s">
        <v>4</v>
      </c>
    </row>
    <row r="7" spans="1:26" x14ac:dyDescent="0.2">
      <c r="A7" s="47"/>
      <c r="B7" s="2" t="s">
        <v>8</v>
      </c>
      <c r="C7" s="9" t="s">
        <v>3</v>
      </c>
      <c r="D7" s="9" t="s">
        <v>273</v>
      </c>
      <c r="E7" s="9" t="s">
        <v>4</v>
      </c>
      <c r="F7" s="9" t="s">
        <v>4</v>
      </c>
      <c r="G7" s="9" t="s">
        <v>4</v>
      </c>
      <c r="H7" s="9" t="s">
        <v>4</v>
      </c>
      <c r="I7" s="9" t="s">
        <v>4</v>
      </c>
      <c r="J7" s="9" t="s">
        <v>4</v>
      </c>
      <c r="K7" s="9" t="s">
        <v>4</v>
      </c>
      <c r="L7" s="9" t="s">
        <v>4</v>
      </c>
      <c r="M7" s="9" t="s">
        <v>4</v>
      </c>
      <c r="N7" s="9" t="s">
        <v>4</v>
      </c>
      <c r="O7" s="9" t="s">
        <v>4</v>
      </c>
      <c r="P7" s="9" t="s">
        <v>4</v>
      </c>
      <c r="Q7" s="9" t="s">
        <v>4</v>
      </c>
      <c r="R7" s="9" t="s">
        <v>4</v>
      </c>
      <c r="S7" s="9" t="s">
        <v>4</v>
      </c>
      <c r="T7" s="9" t="s">
        <v>4</v>
      </c>
      <c r="U7" s="9" t="s">
        <v>4</v>
      </c>
      <c r="V7" s="9" t="s">
        <v>4</v>
      </c>
      <c r="W7" s="9" t="s">
        <v>4</v>
      </c>
      <c r="X7" s="9" t="s">
        <v>4</v>
      </c>
      <c r="Y7" s="9" t="s">
        <v>4</v>
      </c>
      <c r="Z7" s="25" t="s">
        <v>4</v>
      </c>
    </row>
    <row r="8" spans="1:26" x14ac:dyDescent="0.2">
      <c r="A8" s="47"/>
      <c r="B8" s="2" t="s">
        <v>9</v>
      </c>
      <c r="C8" s="9" t="s">
        <v>273</v>
      </c>
      <c r="D8" s="9" t="s">
        <v>273</v>
      </c>
      <c r="E8" s="9" t="s">
        <v>4</v>
      </c>
      <c r="F8" s="9" t="s">
        <v>4</v>
      </c>
      <c r="G8" s="9" t="s">
        <v>4</v>
      </c>
      <c r="H8" s="9" t="s">
        <v>4</v>
      </c>
      <c r="I8" s="9" t="s">
        <v>4</v>
      </c>
      <c r="J8" s="9" t="s">
        <v>4</v>
      </c>
      <c r="K8" s="9" t="s">
        <v>4</v>
      </c>
      <c r="L8" s="9" t="s">
        <v>4</v>
      </c>
      <c r="M8" s="9" t="s">
        <v>4</v>
      </c>
      <c r="N8" s="9" t="s">
        <v>4</v>
      </c>
      <c r="O8" s="9" t="s">
        <v>4</v>
      </c>
      <c r="P8" s="9" t="s">
        <v>4</v>
      </c>
      <c r="Q8" s="9" t="s">
        <v>4</v>
      </c>
      <c r="R8" s="9" t="s">
        <v>4</v>
      </c>
      <c r="S8" s="9" t="s">
        <v>4</v>
      </c>
      <c r="T8" s="9" t="s">
        <v>4</v>
      </c>
      <c r="U8" s="9" t="s">
        <v>4</v>
      </c>
      <c r="V8" s="9" t="s">
        <v>4</v>
      </c>
      <c r="W8" s="9" t="s">
        <v>4</v>
      </c>
      <c r="X8" s="9" t="s">
        <v>4</v>
      </c>
      <c r="Y8" s="9" t="s">
        <v>4</v>
      </c>
      <c r="Z8" s="25" t="s">
        <v>4</v>
      </c>
    </row>
    <row r="9" spans="1:26" x14ac:dyDescent="0.2">
      <c r="A9" s="47"/>
      <c r="B9" s="2" t="s">
        <v>10</v>
      </c>
      <c r="C9" s="9" t="s">
        <v>273</v>
      </c>
      <c r="D9" s="9" t="s">
        <v>273</v>
      </c>
      <c r="E9" s="9" t="s">
        <v>4</v>
      </c>
      <c r="F9" s="9" t="s">
        <v>4</v>
      </c>
      <c r="G9" s="9" t="s">
        <v>4</v>
      </c>
      <c r="H9" s="9" t="s">
        <v>4</v>
      </c>
      <c r="I9" s="9" t="s">
        <v>4</v>
      </c>
      <c r="J9" s="9" t="s">
        <v>4</v>
      </c>
      <c r="K9" s="9" t="s">
        <v>4</v>
      </c>
      <c r="L9" s="9" t="s">
        <v>4</v>
      </c>
      <c r="M9" s="9" t="s">
        <v>4</v>
      </c>
      <c r="N9" s="9" t="s">
        <v>4</v>
      </c>
      <c r="O9" s="9" t="s">
        <v>4</v>
      </c>
      <c r="P9" s="9" t="s">
        <v>4</v>
      </c>
      <c r="Q9" s="9" t="s">
        <v>4</v>
      </c>
      <c r="R9" s="9" t="s">
        <v>4</v>
      </c>
      <c r="S9" s="9" t="s">
        <v>4</v>
      </c>
      <c r="T9" s="9" t="s">
        <v>4</v>
      </c>
      <c r="U9" s="9" t="s">
        <v>4</v>
      </c>
      <c r="V9" s="9" t="s">
        <v>4</v>
      </c>
      <c r="W9" s="9" t="s">
        <v>4</v>
      </c>
      <c r="X9" s="9" t="s">
        <v>4</v>
      </c>
      <c r="Y9" s="9" t="s">
        <v>4</v>
      </c>
      <c r="Z9" s="25" t="s">
        <v>4</v>
      </c>
    </row>
    <row r="10" spans="1:26" x14ac:dyDescent="0.2">
      <c r="A10" s="47"/>
      <c r="B10" s="2" t="s">
        <v>11</v>
      </c>
      <c r="C10" s="9" t="s">
        <v>273</v>
      </c>
      <c r="D10" s="9" t="s">
        <v>273</v>
      </c>
      <c r="E10" s="9" t="s">
        <v>4</v>
      </c>
      <c r="F10" s="9" t="s">
        <v>4</v>
      </c>
      <c r="G10" s="9" t="s">
        <v>4</v>
      </c>
      <c r="H10" s="9" t="s">
        <v>4</v>
      </c>
      <c r="I10" s="9" t="s">
        <v>4</v>
      </c>
      <c r="J10" s="9" t="s">
        <v>4</v>
      </c>
      <c r="K10" s="9" t="s">
        <v>4</v>
      </c>
      <c r="L10" s="9" t="s">
        <v>4</v>
      </c>
      <c r="M10" s="9" t="s">
        <v>4</v>
      </c>
      <c r="N10" s="9" t="s">
        <v>4</v>
      </c>
      <c r="O10" s="9" t="s">
        <v>4</v>
      </c>
      <c r="P10" s="9" t="s">
        <v>4</v>
      </c>
      <c r="Q10" s="9" t="s">
        <v>4</v>
      </c>
      <c r="R10" s="9" t="s">
        <v>4</v>
      </c>
      <c r="S10" s="9" t="s">
        <v>4</v>
      </c>
      <c r="T10" s="9" t="s">
        <v>4</v>
      </c>
      <c r="U10" s="9" t="s">
        <v>4</v>
      </c>
      <c r="V10" s="9" t="s">
        <v>4</v>
      </c>
      <c r="W10" s="9" t="s">
        <v>4</v>
      </c>
      <c r="X10" s="9" t="s">
        <v>4</v>
      </c>
      <c r="Y10" s="9" t="s">
        <v>4</v>
      </c>
      <c r="Z10" s="25" t="s">
        <v>4</v>
      </c>
    </row>
    <row r="11" spans="1:26" x14ac:dyDescent="0.2">
      <c r="A11" s="47"/>
      <c r="B11" s="2" t="s">
        <v>12</v>
      </c>
      <c r="C11" s="9" t="s">
        <v>3</v>
      </c>
      <c r="D11" s="9" t="s">
        <v>3</v>
      </c>
      <c r="E11" s="9" t="s">
        <v>4</v>
      </c>
      <c r="F11" s="9" t="s">
        <v>4</v>
      </c>
      <c r="G11" s="9" t="s">
        <v>4</v>
      </c>
      <c r="H11" s="9" t="s">
        <v>4</v>
      </c>
      <c r="I11" s="9" t="s">
        <v>4</v>
      </c>
      <c r="J11" s="9" t="s">
        <v>4</v>
      </c>
      <c r="K11" s="9" t="s">
        <v>4</v>
      </c>
      <c r="L11" s="9" t="s">
        <v>4</v>
      </c>
      <c r="M11" s="9" t="s">
        <v>4</v>
      </c>
      <c r="N11" s="9" t="s">
        <v>4</v>
      </c>
      <c r="O11" s="9" t="s">
        <v>4</v>
      </c>
      <c r="P11" s="9" t="s">
        <v>4</v>
      </c>
      <c r="Q11" s="9" t="s">
        <v>4</v>
      </c>
      <c r="R11" s="9" t="s">
        <v>4</v>
      </c>
      <c r="S11" s="9" t="s">
        <v>4</v>
      </c>
      <c r="T11" s="9" t="s">
        <v>4</v>
      </c>
      <c r="U11" s="9" t="s">
        <v>4</v>
      </c>
      <c r="V11" s="9" t="s">
        <v>4</v>
      </c>
      <c r="W11" s="9" t="s">
        <v>4</v>
      </c>
      <c r="X11" s="9" t="s">
        <v>4</v>
      </c>
      <c r="Y11" s="9" t="s">
        <v>4</v>
      </c>
      <c r="Z11" s="25" t="s">
        <v>4</v>
      </c>
    </row>
    <row r="12" spans="1:26" x14ac:dyDescent="0.2">
      <c r="A12" s="47"/>
      <c r="B12" s="2" t="s">
        <v>13</v>
      </c>
      <c r="C12" s="9" t="s">
        <v>3</v>
      </c>
      <c r="D12" s="9" t="s">
        <v>3</v>
      </c>
      <c r="E12" s="9" t="s">
        <v>4</v>
      </c>
      <c r="F12" s="9" t="s">
        <v>4</v>
      </c>
      <c r="G12" s="9" t="s">
        <v>4</v>
      </c>
      <c r="H12" s="9" t="s">
        <v>4</v>
      </c>
      <c r="I12" s="9" t="s">
        <v>4</v>
      </c>
      <c r="J12" s="9" t="s">
        <v>4</v>
      </c>
      <c r="K12" s="9" t="s">
        <v>4</v>
      </c>
      <c r="L12" s="9" t="s">
        <v>4</v>
      </c>
      <c r="M12" s="9" t="s">
        <v>4</v>
      </c>
      <c r="N12" s="9" t="s">
        <v>4</v>
      </c>
      <c r="O12" s="9" t="s">
        <v>4</v>
      </c>
      <c r="P12" s="9" t="s">
        <v>4</v>
      </c>
      <c r="Q12" s="9" t="s">
        <v>4</v>
      </c>
      <c r="R12" s="9" t="s">
        <v>4</v>
      </c>
      <c r="S12" s="9" t="s">
        <v>4</v>
      </c>
      <c r="T12" s="9" t="s">
        <v>4</v>
      </c>
      <c r="U12" s="9" t="s">
        <v>4</v>
      </c>
      <c r="V12" s="9" t="s">
        <v>4</v>
      </c>
      <c r="W12" s="9" t="s">
        <v>4</v>
      </c>
      <c r="X12" s="9" t="s">
        <v>4</v>
      </c>
      <c r="Y12" s="9" t="s">
        <v>4</v>
      </c>
      <c r="Z12" s="25" t="s">
        <v>4</v>
      </c>
    </row>
    <row r="13" spans="1:26" x14ac:dyDescent="0.2">
      <c r="A13" s="47"/>
      <c r="B13" s="2" t="s">
        <v>14</v>
      </c>
      <c r="C13" s="9" t="s">
        <v>3</v>
      </c>
      <c r="D13" s="9" t="s">
        <v>3</v>
      </c>
      <c r="E13" s="9" t="s">
        <v>4</v>
      </c>
      <c r="F13" s="9" t="s">
        <v>4</v>
      </c>
      <c r="G13" s="9" t="s">
        <v>4</v>
      </c>
      <c r="H13" s="9" t="s">
        <v>4</v>
      </c>
      <c r="I13" s="9" t="s">
        <v>4</v>
      </c>
      <c r="J13" s="9" t="s">
        <v>4</v>
      </c>
      <c r="K13" s="9" t="s">
        <v>4</v>
      </c>
      <c r="L13" s="9" t="s">
        <v>4</v>
      </c>
      <c r="M13" s="9" t="s">
        <v>4</v>
      </c>
      <c r="N13" s="9" t="s">
        <v>4</v>
      </c>
      <c r="O13" s="9" t="s">
        <v>4</v>
      </c>
      <c r="P13" s="9" t="s">
        <v>4</v>
      </c>
      <c r="Q13" s="9" t="s">
        <v>4</v>
      </c>
      <c r="R13" s="9" t="s">
        <v>4</v>
      </c>
      <c r="S13" s="9" t="s">
        <v>4</v>
      </c>
      <c r="T13" s="9" t="s">
        <v>4</v>
      </c>
      <c r="U13" s="9" t="s">
        <v>4</v>
      </c>
      <c r="V13" s="9" t="s">
        <v>4</v>
      </c>
      <c r="W13" s="9" t="s">
        <v>4</v>
      </c>
      <c r="X13" s="9" t="s">
        <v>4</v>
      </c>
      <c r="Y13" s="9" t="s">
        <v>4</v>
      </c>
      <c r="Z13" s="25" t="s">
        <v>4</v>
      </c>
    </row>
    <row r="14" spans="1:26" x14ac:dyDescent="0.2">
      <c r="A14" s="47"/>
      <c r="B14" s="2" t="s">
        <v>15</v>
      </c>
      <c r="C14" s="9" t="s">
        <v>3</v>
      </c>
      <c r="D14" s="9" t="s">
        <v>3</v>
      </c>
      <c r="E14" s="9" t="s">
        <v>4</v>
      </c>
      <c r="F14" s="9" t="s">
        <v>4</v>
      </c>
      <c r="G14" s="9" t="s">
        <v>4</v>
      </c>
      <c r="H14" s="9" t="s">
        <v>4</v>
      </c>
      <c r="I14" s="9" t="s">
        <v>4</v>
      </c>
      <c r="J14" s="9" t="s">
        <v>4</v>
      </c>
      <c r="K14" s="9" t="s">
        <v>4</v>
      </c>
      <c r="L14" s="9" t="s">
        <v>4</v>
      </c>
      <c r="M14" s="9" t="s">
        <v>4</v>
      </c>
      <c r="N14" s="9" t="s">
        <v>4</v>
      </c>
      <c r="O14" s="9" t="s">
        <v>4</v>
      </c>
      <c r="P14" s="9" t="s">
        <v>4</v>
      </c>
      <c r="Q14" s="9" t="s">
        <v>4</v>
      </c>
      <c r="R14" s="9" t="s">
        <v>4</v>
      </c>
      <c r="S14" s="9" t="s">
        <v>4</v>
      </c>
      <c r="T14" s="9" t="s">
        <v>4</v>
      </c>
      <c r="U14" s="9" t="s">
        <v>4</v>
      </c>
      <c r="V14" s="9" t="s">
        <v>4</v>
      </c>
      <c r="W14" s="9" t="s">
        <v>4</v>
      </c>
      <c r="X14" s="9" t="s">
        <v>4</v>
      </c>
      <c r="Y14" s="9" t="s">
        <v>4</v>
      </c>
      <c r="Z14" s="25" t="s">
        <v>4</v>
      </c>
    </row>
    <row r="15" spans="1:26" x14ac:dyDescent="0.2">
      <c r="A15" s="47"/>
      <c r="B15" s="2" t="s">
        <v>16</v>
      </c>
      <c r="C15" s="9" t="s">
        <v>273</v>
      </c>
      <c r="D15" s="9" t="s">
        <v>273</v>
      </c>
      <c r="E15" s="9" t="s">
        <v>4</v>
      </c>
      <c r="F15" s="9" t="s">
        <v>4</v>
      </c>
      <c r="G15" s="9" t="s">
        <v>4</v>
      </c>
      <c r="H15" s="9" t="s">
        <v>4</v>
      </c>
      <c r="I15" s="9" t="s">
        <v>4</v>
      </c>
      <c r="J15" s="9" t="s">
        <v>4</v>
      </c>
      <c r="K15" s="9" t="s">
        <v>4</v>
      </c>
      <c r="L15" s="9" t="s">
        <v>4</v>
      </c>
      <c r="M15" s="9" t="s">
        <v>4</v>
      </c>
      <c r="N15" s="9" t="s">
        <v>4</v>
      </c>
      <c r="O15" s="9" t="s">
        <v>4</v>
      </c>
      <c r="P15" s="9" t="s">
        <v>4</v>
      </c>
      <c r="Q15" s="9" t="s">
        <v>4</v>
      </c>
      <c r="R15" s="9" t="s">
        <v>4</v>
      </c>
      <c r="S15" s="9" t="s">
        <v>4</v>
      </c>
      <c r="T15" s="9" t="s">
        <v>4</v>
      </c>
      <c r="U15" s="9" t="s">
        <v>4</v>
      </c>
      <c r="V15" s="9" t="s">
        <v>4</v>
      </c>
      <c r="W15" s="9" t="s">
        <v>4</v>
      </c>
      <c r="X15" s="9" t="s">
        <v>4</v>
      </c>
      <c r="Y15" s="9" t="s">
        <v>4</v>
      </c>
      <c r="Z15" s="25" t="s">
        <v>4</v>
      </c>
    </row>
    <row r="16" spans="1:26" ht="15.75" customHeight="1" thickBot="1" x14ac:dyDescent="0.25">
      <c r="A16" s="48"/>
      <c r="B16" s="26" t="s">
        <v>17</v>
      </c>
      <c r="C16" s="27" t="s">
        <v>3</v>
      </c>
      <c r="D16" s="27" t="s">
        <v>273</v>
      </c>
      <c r="E16" s="27" t="s">
        <v>4</v>
      </c>
      <c r="F16" s="27" t="s">
        <v>4</v>
      </c>
      <c r="G16" s="27" t="s">
        <v>4</v>
      </c>
      <c r="H16" s="27" t="s">
        <v>4</v>
      </c>
      <c r="I16" s="27" t="s">
        <v>4</v>
      </c>
      <c r="J16" s="27" t="s">
        <v>4</v>
      </c>
      <c r="K16" s="27" t="s">
        <v>4</v>
      </c>
      <c r="L16" s="27" t="s">
        <v>4</v>
      </c>
      <c r="M16" s="27" t="s">
        <v>4</v>
      </c>
      <c r="N16" s="27" t="s">
        <v>4</v>
      </c>
      <c r="O16" s="27" t="s">
        <v>4</v>
      </c>
      <c r="P16" s="27" t="s">
        <v>4</v>
      </c>
      <c r="Q16" s="27" t="s">
        <v>4</v>
      </c>
      <c r="R16" s="27" t="s">
        <v>4</v>
      </c>
      <c r="S16" s="27" t="s">
        <v>4</v>
      </c>
      <c r="T16" s="27" t="s">
        <v>4</v>
      </c>
      <c r="U16" s="27" t="s">
        <v>4</v>
      </c>
      <c r="V16" s="27" t="s">
        <v>4</v>
      </c>
      <c r="W16" s="27" t="s">
        <v>4</v>
      </c>
      <c r="X16" s="27" t="s">
        <v>4</v>
      </c>
      <c r="Y16" s="27" t="s">
        <v>4</v>
      </c>
      <c r="Z16" s="28" t="s">
        <v>4</v>
      </c>
    </row>
    <row r="17" spans="1:26" x14ac:dyDescent="0.2">
      <c r="A17" s="46" t="s">
        <v>18</v>
      </c>
      <c r="B17" s="22" t="s">
        <v>19</v>
      </c>
      <c r="C17" s="23" t="s">
        <v>3</v>
      </c>
      <c r="D17" s="23" t="s">
        <v>3</v>
      </c>
      <c r="E17" s="23" t="s">
        <v>4</v>
      </c>
      <c r="F17" s="23" t="s">
        <v>4</v>
      </c>
      <c r="G17" s="23" t="s">
        <v>4</v>
      </c>
      <c r="H17" s="23" t="s">
        <v>4</v>
      </c>
      <c r="I17" s="23" t="s">
        <v>4</v>
      </c>
      <c r="J17" s="23" t="s">
        <v>4</v>
      </c>
      <c r="K17" s="23" t="s">
        <v>4</v>
      </c>
      <c r="L17" s="23" t="s">
        <v>4</v>
      </c>
      <c r="M17" s="23" t="s">
        <v>4</v>
      </c>
      <c r="N17" s="23" t="s">
        <v>4</v>
      </c>
      <c r="O17" s="23" t="s">
        <v>4</v>
      </c>
      <c r="P17" s="23" t="s">
        <v>4</v>
      </c>
      <c r="Q17" s="23" t="s">
        <v>4</v>
      </c>
      <c r="R17" s="23" t="s">
        <v>4</v>
      </c>
      <c r="S17" s="23" t="s">
        <v>4</v>
      </c>
      <c r="T17" s="23" t="s">
        <v>4</v>
      </c>
      <c r="U17" s="23" t="s">
        <v>4</v>
      </c>
      <c r="V17" s="23" t="s">
        <v>4</v>
      </c>
      <c r="W17" s="23" t="s">
        <v>4</v>
      </c>
      <c r="X17" s="23" t="s">
        <v>4</v>
      </c>
      <c r="Y17" s="23" t="s">
        <v>4</v>
      </c>
      <c r="Z17" s="24" t="s">
        <v>4</v>
      </c>
    </row>
    <row r="18" spans="1:26" x14ac:dyDescent="0.2">
      <c r="A18" s="47"/>
      <c r="B18" s="2" t="s">
        <v>20</v>
      </c>
      <c r="C18" s="9" t="s">
        <v>3</v>
      </c>
      <c r="D18" s="9" t="s">
        <v>3</v>
      </c>
      <c r="E18" s="9" t="s">
        <v>4</v>
      </c>
      <c r="F18" s="9" t="s">
        <v>4</v>
      </c>
      <c r="G18" s="9" t="s">
        <v>4</v>
      </c>
      <c r="H18" s="9" t="s">
        <v>4</v>
      </c>
      <c r="I18" s="9" t="s">
        <v>4</v>
      </c>
      <c r="J18" s="9" t="s">
        <v>4</v>
      </c>
      <c r="K18" s="9" t="s">
        <v>4</v>
      </c>
      <c r="L18" s="9" t="s">
        <v>4</v>
      </c>
      <c r="M18" s="9" t="s">
        <v>4</v>
      </c>
      <c r="N18" s="9" t="s">
        <v>4</v>
      </c>
      <c r="O18" s="9" t="s">
        <v>4</v>
      </c>
      <c r="P18" s="9" t="s">
        <v>4</v>
      </c>
      <c r="Q18" s="9" t="s">
        <v>4</v>
      </c>
      <c r="R18" s="9" t="s">
        <v>4</v>
      </c>
      <c r="S18" s="9" t="s">
        <v>4</v>
      </c>
      <c r="T18" s="9" t="s">
        <v>4</v>
      </c>
      <c r="U18" s="9" t="s">
        <v>4</v>
      </c>
      <c r="V18" s="9" t="s">
        <v>4</v>
      </c>
      <c r="W18" s="9" t="s">
        <v>4</v>
      </c>
      <c r="X18" s="9" t="s">
        <v>4</v>
      </c>
      <c r="Y18" s="9" t="s">
        <v>4</v>
      </c>
      <c r="Z18" s="25" t="s">
        <v>4</v>
      </c>
    </row>
    <row r="19" spans="1:26" x14ac:dyDescent="0.2">
      <c r="A19" s="47"/>
      <c r="B19" s="2" t="s">
        <v>21</v>
      </c>
      <c r="C19" s="9" t="s">
        <v>3</v>
      </c>
      <c r="D19" s="9" t="s">
        <v>3</v>
      </c>
      <c r="E19" s="9" t="s">
        <v>4</v>
      </c>
      <c r="F19" s="9" t="s">
        <v>4</v>
      </c>
      <c r="G19" s="9" t="s">
        <v>4</v>
      </c>
      <c r="H19" s="9" t="s">
        <v>4</v>
      </c>
      <c r="I19" s="9" t="s">
        <v>4</v>
      </c>
      <c r="J19" s="9" t="s">
        <v>4</v>
      </c>
      <c r="K19" s="9" t="s">
        <v>4</v>
      </c>
      <c r="L19" s="9" t="s">
        <v>4</v>
      </c>
      <c r="M19" s="9" t="s">
        <v>4</v>
      </c>
      <c r="N19" s="9" t="s">
        <v>4</v>
      </c>
      <c r="O19" s="9" t="s">
        <v>4</v>
      </c>
      <c r="P19" s="9" t="s">
        <v>4</v>
      </c>
      <c r="Q19" s="9" t="s">
        <v>4</v>
      </c>
      <c r="R19" s="9" t="s">
        <v>4</v>
      </c>
      <c r="S19" s="9" t="s">
        <v>4</v>
      </c>
      <c r="T19" s="9" t="s">
        <v>4</v>
      </c>
      <c r="U19" s="9" t="s">
        <v>4</v>
      </c>
      <c r="V19" s="9" t="s">
        <v>4</v>
      </c>
      <c r="W19" s="9" t="s">
        <v>4</v>
      </c>
      <c r="X19" s="9" t="s">
        <v>4</v>
      </c>
      <c r="Y19" s="9" t="s">
        <v>4</v>
      </c>
      <c r="Z19" s="25" t="s">
        <v>4</v>
      </c>
    </row>
    <row r="20" spans="1:26" x14ac:dyDescent="0.2">
      <c r="A20" s="47"/>
      <c r="B20" s="2" t="s">
        <v>22</v>
      </c>
      <c r="C20" s="9" t="s">
        <v>3</v>
      </c>
      <c r="D20" s="9" t="s">
        <v>3</v>
      </c>
      <c r="E20" s="9" t="s">
        <v>4</v>
      </c>
      <c r="F20" s="9" t="s">
        <v>4</v>
      </c>
      <c r="G20" s="9" t="s">
        <v>4</v>
      </c>
      <c r="H20" s="9" t="s">
        <v>4</v>
      </c>
      <c r="I20" s="9" t="s">
        <v>4</v>
      </c>
      <c r="J20" s="9" t="s">
        <v>4</v>
      </c>
      <c r="K20" s="9" t="s">
        <v>4</v>
      </c>
      <c r="L20" s="9" t="s">
        <v>4</v>
      </c>
      <c r="M20" s="9" t="s">
        <v>4</v>
      </c>
      <c r="N20" s="9" t="s">
        <v>4</v>
      </c>
      <c r="O20" s="9" t="s">
        <v>4</v>
      </c>
      <c r="P20" s="9" t="s">
        <v>4</v>
      </c>
      <c r="Q20" s="9" t="s">
        <v>4</v>
      </c>
      <c r="R20" s="9" t="s">
        <v>4</v>
      </c>
      <c r="S20" s="9" t="s">
        <v>4</v>
      </c>
      <c r="T20" s="9" t="s">
        <v>4</v>
      </c>
      <c r="U20" s="9" t="s">
        <v>4</v>
      </c>
      <c r="V20" s="9" t="s">
        <v>4</v>
      </c>
      <c r="W20" s="9" t="s">
        <v>4</v>
      </c>
      <c r="X20" s="9" t="s">
        <v>4</v>
      </c>
      <c r="Y20" s="9" t="s">
        <v>4</v>
      </c>
      <c r="Z20" s="25" t="s">
        <v>4</v>
      </c>
    </row>
    <row r="21" spans="1:26" x14ac:dyDescent="0.2">
      <c r="A21" s="47"/>
      <c r="B21" s="2" t="s">
        <v>23</v>
      </c>
      <c r="C21" s="9" t="s">
        <v>3</v>
      </c>
      <c r="D21" s="9" t="s">
        <v>3</v>
      </c>
      <c r="E21" s="9" t="s">
        <v>4</v>
      </c>
      <c r="F21" s="9" t="s">
        <v>4</v>
      </c>
      <c r="G21" s="9" t="s">
        <v>4</v>
      </c>
      <c r="H21" s="9" t="s">
        <v>4</v>
      </c>
      <c r="I21" s="9" t="s">
        <v>4</v>
      </c>
      <c r="J21" s="9" t="s">
        <v>4</v>
      </c>
      <c r="K21" s="9" t="s">
        <v>4</v>
      </c>
      <c r="L21" s="9" t="s">
        <v>4</v>
      </c>
      <c r="M21" s="9" t="s">
        <v>4</v>
      </c>
      <c r="N21" s="9" t="s">
        <v>4</v>
      </c>
      <c r="O21" s="9" t="s">
        <v>4</v>
      </c>
      <c r="P21" s="9" t="s">
        <v>4</v>
      </c>
      <c r="Q21" s="9" t="s">
        <v>4</v>
      </c>
      <c r="R21" s="9" t="s">
        <v>4</v>
      </c>
      <c r="S21" s="9" t="s">
        <v>4</v>
      </c>
      <c r="T21" s="9" t="s">
        <v>4</v>
      </c>
      <c r="U21" s="9" t="s">
        <v>4</v>
      </c>
      <c r="V21" s="9" t="s">
        <v>4</v>
      </c>
      <c r="W21" s="9" t="s">
        <v>4</v>
      </c>
      <c r="X21" s="9" t="s">
        <v>4</v>
      </c>
      <c r="Y21" s="9" t="s">
        <v>4</v>
      </c>
      <c r="Z21" s="25" t="s">
        <v>4</v>
      </c>
    </row>
    <row r="22" spans="1:26" x14ac:dyDescent="0.2">
      <c r="A22" s="47"/>
      <c r="B22" s="2" t="s">
        <v>24</v>
      </c>
      <c r="C22" s="9" t="s">
        <v>3</v>
      </c>
      <c r="D22" s="9" t="s">
        <v>3</v>
      </c>
      <c r="E22" s="9" t="s">
        <v>4</v>
      </c>
      <c r="F22" s="9" t="s">
        <v>4</v>
      </c>
      <c r="G22" s="9" t="s">
        <v>4</v>
      </c>
      <c r="H22" s="9" t="s">
        <v>4</v>
      </c>
      <c r="I22" s="9" t="s">
        <v>4</v>
      </c>
      <c r="J22" s="9" t="s">
        <v>4</v>
      </c>
      <c r="K22" s="9" t="s">
        <v>4</v>
      </c>
      <c r="L22" s="9" t="s">
        <v>4</v>
      </c>
      <c r="M22" s="9" t="s">
        <v>4</v>
      </c>
      <c r="N22" s="9" t="s">
        <v>4</v>
      </c>
      <c r="O22" s="9" t="s">
        <v>4</v>
      </c>
      <c r="P22" s="9" t="s">
        <v>4</v>
      </c>
      <c r="Q22" s="9" t="s">
        <v>4</v>
      </c>
      <c r="R22" s="9" t="s">
        <v>4</v>
      </c>
      <c r="S22" s="9" t="s">
        <v>4</v>
      </c>
      <c r="T22" s="9" t="s">
        <v>4</v>
      </c>
      <c r="U22" s="9" t="s">
        <v>4</v>
      </c>
      <c r="V22" s="9" t="s">
        <v>4</v>
      </c>
      <c r="W22" s="9" t="s">
        <v>4</v>
      </c>
      <c r="X22" s="9" t="s">
        <v>4</v>
      </c>
      <c r="Y22" s="9" t="s">
        <v>4</v>
      </c>
      <c r="Z22" s="25" t="s">
        <v>4</v>
      </c>
    </row>
    <row r="23" spans="1:26" x14ac:dyDescent="0.2">
      <c r="A23" s="47"/>
      <c r="B23" s="2" t="s">
        <v>25</v>
      </c>
      <c r="C23" s="9" t="s">
        <v>3</v>
      </c>
      <c r="D23" s="9" t="s">
        <v>3</v>
      </c>
      <c r="E23" s="9" t="s">
        <v>4</v>
      </c>
      <c r="F23" s="9" t="s">
        <v>4</v>
      </c>
      <c r="G23" s="9" t="s">
        <v>4</v>
      </c>
      <c r="H23" s="9" t="s">
        <v>4</v>
      </c>
      <c r="I23" s="9" t="s">
        <v>4</v>
      </c>
      <c r="J23" s="9" t="s">
        <v>4</v>
      </c>
      <c r="K23" s="9" t="s">
        <v>4</v>
      </c>
      <c r="L23" s="9" t="s">
        <v>4</v>
      </c>
      <c r="M23" s="9" t="s">
        <v>4</v>
      </c>
      <c r="N23" s="9" t="s">
        <v>4</v>
      </c>
      <c r="O23" s="9" t="s">
        <v>4</v>
      </c>
      <c r="P23" s="9" t="s">
        <v>4</v>
      </c>
      <c r="Q23" s="9" t="s">
        <v>4</v>
      </c>
      <c r="R23" s="9" t="s">
        <v>4</v>
      </c>
      <c r="S23" s="9" t="s">
        <v>4</v>
      </c>
      <c r="T23" s="9" t="s">
        <v>4</v>
      </c>
      <c r="U23" s="9" t="s">
        <v>4</v>
      </c>
      <c r="V23" s="9" t="s">
        <v>4</v>
      </c>
      <c r="W23" s="9" t="s">
        <v>4</v>
      </c>
      <c r="X23" s="9" t="s">
        <v>4</v>
      </c>
      <c r="Y23" s="9" t="s">
        <v>4</v>
      </c>
      <c r="Z23" s="25" t="s">
        <v>4</v>
      </c>
    </row>
    <row r="24" spans="1:26" x14ac:dyDescent="0.2">
      <c r="A24" s="47"/>
      <c r="B24" s="2" t="s">
        <v>26</v>
      </c>
      <c r="C24" s="9" t="s">
        <v>273</v>
      </c>
      <c r="D24" s="9" t="s">
        <v>273</v>
      </c>
      <c r="E24" s="9" t="s">
        <v>4</v>
      </c>
      <c r="F24" s="9" t="s">
        <v>4</v>
      </c>
      <c r="G24" s="9" t="s">
        <v>4</v>
      </c>
      <c r="H24" s="9" t="s">
        <v>4</v>
      </c>
      <c r="I24" s="9" t="s">
        <v>4</v>
      </c>
      <c r="J24" s="9" t="s">
        <v>4</v>
      </c>
      <c r="K24" s="9" t="s">
        <v>4</v>
      </c>
      <c r="L24" s="9" t="s">
        <v>4</v>
      </c>
      <c r="M24" s="9" t="s">
        <v>4</v>
      </c>
      <c r="N24" s="9" t="s">
        <v>4</v>
      </c>
      <c r="O24" s="9" t="s">
        <v>4</v>
      </c>
      <c r="P24" s="9" t="s">
        <v>4</v>
      </c>
      <c r="Q24" s="9" t="s">
        <v>4</v>
      </c>
      <c r="R24" s="9" t="s">
        <v>4</v>
      </c>
      <c r="S24" s="9" t="s">
        <v>4</v>
      </c>
      <c r="T24" s="9" t="s">
        <v>4</v>
      </c>
      <c r="U24" s="9" t="s">
        <v>4</v>
      </c>
      <c r="V24" s="9" t="s">
        <v>4</v>
      </c>
      <c r="W24" s="9" t="s">
        <v>4</v>
      </c>
      <c r="X24" s="9" t="s">
        <v>4</v>
      </c>
      <c r="Y24" s="9" t="s">
        <v>4</v>
      </c>
      <c r="Z24" s="25" t="s">
        <v>4</v>
      </c>
    </row>
    <row r="25" spans="1:26" x14ac:dyDescent="0.2">
      <c r="A25" s="47"/>
      <c r="B25" s="2" t="s">
        <v>27</v>
      </c>
      <c r="C25" s="9" t="s">
        <v>273</v>
      </c>
      <c r="D25" s="9" t="s">
        <v>273</v>
      </c>
      <c r="E25" s="9" t="s">
        <v>4</v>
      </c>
      <c r="F25" s="9" t="s">
        <v>4</v>
      </c>
      <c r="G25" s="9" t="s">
        <v>4</v>
      </c>
      <c r="H25" s="9" t="s">
        <v>4</v>
      </c>
      <c r="I25" s="9" t="s">
        <v>4</v>
      </c>
      <c r="J25" s="9" t="s">
        <v>4</v>
      </c>
      <c r="K25" s="9" t="s">
        <v>4</v>
      </c>
      <c r="L25" s="9" t="s">
        <v>4</v>
      </c>
      <c r="M25" s="9" t="s">
        <v>4</v>
      </c>
      <c r="N25" s="9" t="s">
        <v>4</v>
      </c>
      <c r="O25" s="9" t="s">
        <v>4</v>
      </c>
      <c r="P25" s="9" t="s">
        <v>4</v>
      </c>
      <c r="Q25" s="9" t="s">
        <v>4</v>
      </c>
      <c r="R25" s="9" t="s">
        <v>4</v>
      </c>
      <c r="S25" s="9" t="s">
        <v>4</v>
      </c>
      <c r="T25" s="9" t="s">
        <v>4</v>
      </c>
      <c r="U25" s="9" t="s">
        <v>4</v>
      </c>
      <c r="V25" s="9" t="s">
        <v>4</v>
      </c>
      <c r="W25" s="9" t="s">
        <v>4</v>
      </c>
      <c r="X25" s="9" t="s">
        <v>4</v>
      </c>
      <c r="Y25" s="9" t="s">
        <v>4</v>
      </c>
      <c r="Z25" s="25" t="s">
        <v>4</v>
      </c>
    </row>
    <row r="26" spans="1:26" x14ac:dyDescent="0.2">
      <c r="A26" s="47"/>
      <c r="B26" s="2" t="s">
        <v>28</v>
      </c>
      <c r="C26" s="9" t="s">
        <v>3</v>
      </c>
      <c r="D26" s="44" t="s">
        <v>3</v>
      </c>
      <c r="E26" s="9" t="s">
        <v>4</v>
      </c>
      <c r="F26" s="9" t="s">
        <v>4</v>
      </c>
      <c r="G26" s="9" t="s">
        <v>4</v>
      </c>
      <c r="H26" s="9" t="s">
        <v>4</v>
      </c>
      <c r="I26" s="9" t="s">
        <v>4</v>
      </c>
      <c r="J26" s="9" t="s">
        <v>4</v>
      </c>
      <c r="K26" s="9" t="s">
        <v>4</v>
      </c>
      <c r="L26" s="9" t="s">
        <v>4</v>
      </c>
      <c r="M26" s="9" t="s">
        <v>4</v>
      </c>
      <c r="N26" s="9" t="s">
        <v>4</v>
      </c>
      <c r="O26" s="9" t="s">
        <v>4</v>
      </c>
      <c r="P26" s="9" t="s">
        <v>4</v>
      </c>
      <c r="Q26" s="9" t="s">
        <v>4</v>
      </c>
      <c r="R26" s="9" t="s">
        <v>4</v>
      </c>
      <c r="S26" s="9" t="s">
        <v>4</v>
      </c>
      <c r="T26" s="9" t="s">
        <v>4</v>
      </c>
      <c r="U26" s="9" t="s">
        <v>4</v>
      </c>
      <c r="V26" s="9" t="s">
        <v>4</v>
      </c>
      <c r="W26" s="9" t="s">
        <v>4</v>
      </c>
      <c r="X26" s="9" t="s">
        <v>4</v>
      </c>
      <c r="Y26" s="9" t="s">
        <v>4</v>
      </c>
      <c r="Z26" s="25" t="s">
        <v>4</v>
      </c>
    </row>
    <row r="27" spans="1:26" ht="15.75" customHeight="1" thickBot="1" x14ac:dyDescent="0.25">
      <c r="A27" s="48"/>
      <c r="B27" s="26" t="s">
        <v>29</v>
      </c>
      <c r="C27" s="27" t="s">
        <v>4</v>
      </c>
      <c r="D27" s="27" t="s">
        <v>4</v>
      </c>
      <c r="E27" s="27" t="s">
        <v>4</v>
      </c>
      <c r="F27" s="27" t="s">
        <v>4</v>
      </c>
      <c r="G27" s="27" t="s">
        <v>4</v>
      </c>
      <c r="H27" s="27" t="s">
        <v>4</v>
      </c>
      <c r="I27" s="27" t="s">
        <v>4</v>
      </c>
      <c r="J27" s="27" t="s">
        <v>4</v>
      </c>
      <c r="K27" s="27" t="s">
        <v>4</v>
      </c>
      <c r="L27" s="27" t="s">
        <v>4</v>
      </c>
      <c r="M27" s="27" t="s">
        <v>4</v>
      </c>
      <c r="N27" s="27" t="s">
        <v>4</v>
      </c>
      <c r="O27" s="27" t="s">
        <v>4</v>
      </c>
      <c r="P27" s="27" t="s">
        <v>4</v>
      </c>
      <c r="Q27" s="27" t="s">
        <v>4</v>
      </c>
      <c r="R27" s="27" t="s">
        <v>4</v>
      </c>
      <c r="S27" s="27" t="s">
        <v>4</v>
      </c>
      <c r="T27" s="27" t="s">
        <v>4</v>
      </c>
      <c r="U27" s="27" t="s">
        <v>4</v>
      </c>
      <c r="V27" s="27" t="s">
        <v>4</v>
      </c>
      <c r="W27" s="27" t="s">
        <v>4</v>
      </c>
      <c r="X27" s="27" t="s">
        <v>4</v>
      </c>
      <c r="Y27" s="27" t="s">
        <v>4</v>
      </c>
      <c r="Z27" s="28" t="s">
        <v>4</v>
      </c>
    </row>
    <row r="28" spans="1:26" x14ac:dyDescent="0.2">
      <c r="A28" s="46" t="s">
        <v>30</v>
      </c>
      <c r="B28" s="22" t="s">
        <v>31</v>
      </c>
      <c r="C28" s="23" t="s">
        <v>3</v>
      </c>
      <c r="D28" s="23" t="s">
        <v>3</v>
      </c>
      <c r="E28" s="23" t="s">
        <v>4</v>
      </c>
      <c r="F28" s="23" t="s">
        <v>4</v>
      </c>
      <c r="G28" s="23" t="s">
        <v>4</v>
      </c>
      <c r="H28" s="23" t="s">
        <v>4</v>
      </c>
      <c r="I28" s="23" t="s">
        <v>4</v>
      </c>
      <c r="J28" s="23" t="s">
        <v>4</v>
      </c>
      <c r="K28" s="23" t="s">
        <v>4</v>
      </c>
      <c r="L28" s="23" t="s">
        <v>4</v>
      </c>
      <c r="M28" s="23" t="s">
        <v>4</v>
      </c>
      <c r="N28" s="23" t="s">
        <v>4</v>
      </c>
      <c r="O28" s="23" t="s">
        <v>4</v>
      </c>
      <c r="P28" s="23" t="s">
        <v>4</v>
      </c>
      <c r="Q28" s="23" t="s">
        <v>4</v>
      </c>
      <c r="R28" s="23" t="s">
        <v>4</v>
      </c>
      <c r="S28" s="23" t="s">
        <v>4</v>
      </c>
      <c r="T28" s="23" t="s">
        <v>4</v>
      </c>
      <c r="U28" s="23" t="s">
        <v>4</v>
      </c>
      <c r="V28" s="23" t="s">
        <v>4</v>
      </c>
      <c r="W28" s="23" t="s">
        <v>4</v>
      </c>
      <c r="X28" s="23" t="s">
        <v>4</v>
      </c>
      <c r="Y28" s="23" t="s">
        <v>4</v>
      </c>
      <c r="Z28" s="24" t="s">
        <v>4</v>
      </c>
    </row>
    <row r="29" spans="1:26" x14ac:dyDescent="0.2">
      <c r="A29" s="47"/>
      <c r="B29" s="2" t="s">
        <v>32</v>
      </c>
      <c r="C29" s="9" t="s">
        <v>3</v>
      </c>
      <c r="D29" s="9" t="s">
        <v>3</v>
      </c>
      <c r="E29" s="9" t="s">
        <v>4</v>
      </c>
      <c r="F29" s="9" t="s">
        <v>4</v>
      </c>
      <c r="G29" s="9" t="s">
        <v>4</v>
      </c>
      <c r="H29" s="9" t="s">
        <v>4</v>
      </c>
      <c r="I29" s="9" t="s">
        <v>4</v>
      </c>
      <c r="J29" s="9" t="s">
        <v>4</v>
      </c>
      <c r="K29" s="9" t="s">
        <v>4</v>
      </c>
      <c r="L29" s="9" t="s">
        <v>4</v>
      </c>
      <c r="M29" s="9" t="s">
        <v>4</v>
      </c>
      <c r="N29" s="9" t="s">
        <v>4</v>
      </c>
      <c r="O29" s="9" t="s">
        <v>4</v>
      </c>
      <c r="P29" s="9" t="s">
        <v>4</v>
      </c>
      <c r="Q29" s="9" t="s">
        <v>4</v>
      </c>
      <c r="R29" s="9" t="s">
        <v>4</v>
      </c>
      <c r="S29" s="9" t="s">
        <v>4</v>
      </c>
      <c r="T29" s="9" t="s">
        <v>4</v>
      </c>
      <c r="U29" s="9" t="s">
        <v>4</v>
      </c>
      <c r="V29" s="9" t="s">
        <v>4</v>
      </c>
      <c r="W29" s="9" t="s">
        <v>4</v>
      </c>
      <c r="X29" s="9" t="s">
        <v>4</v>
      </c>
      <c r="Y29" s="9" t="s">
        <v>4</v>
      </c>
      <c r="Z29" s="25" t="s">
        <v>4</v>
      </c>
    </row>
    <row r="30" spans="1:26" x14ac:dyDescent="0.2">
      <c r="A30" s="47"/>
      <c r="B30" s="2" t="s">
        <v>33</v>
      </c>
      <c r="C30" s="9" t="s">
        <v>3</v>
      </c>
      <c r="D30" s="9" t="s">
        <v>273</v>
      </c>
      <c r="E30" s="9" t="s">
        <v>4</v>
      </c>
      <c r="F30" s="9" t="s">
        <v>4</v>
      </c>
      <c r="G30" s="9" t="s">
        <v>4</v>
      </c>
      <c r="H30" s="9" t="s">
        <v>4</v>
      </c>
      <c r="I30" s="9" t="s">
        <v>4</v>
      </c>
      <c r="J30" s="9" t="s">
        <v>4</v>
      </c>
      <c r="K30" s="9" t="s">
        <v>4</v>
      </c>
      <c r="L30" s="9" t="s">
        <v>4</v>
      </c>
      <c r="M30" s="9" t="s">
        <v>4</v>
      </c>
      <c r="N30" s="9" t="s">
        <v>4</v>
      </c>
      <c r="O30" s="9" t="s">
        <v>4</v>
      </c>
      <c r="P30" s="9" t="s">
        <v>4</v>
      </c>
      <c r="Q30" s="9" t="s">
        <v>4</v>
      </c>
      <c r="R30" s="9" t="s">
        <v>4</v>
      </c>
      <c r="S30" s="9" t="s">
        <v>4</v>
      </c>
      <c r="T30" s="9" t="s">
        <v>4</v>
      </c>
      <c r="U30" s="9" t="s">
        <v>4</v>
      </c>
      <c r="V30" s="9" t="s">
        <v>4</v>
      </c>
      <c r="W30" s="9" t="s">
        <v>4</v>
      </c>
      <c r="X30" s="9" t="s">
        <v>4</v>
      </c>
      <c r="Y30" s="9" t="s">
        <v>4</v>
      </c>
      <c r="Z30" s="25" t="s">
        <v>4</v>
      </c>
    </row>
    <row r="31" spans="1:26" x14ac:dyDescent="0.2">
      <c r="A31" s="47"/>
      <c r="B31" s="2" t="s">
        <v>34</v>
      </c>
      <c r="C31" s="9" t="s">
        <v>3</v>
      </c>
      <c r="D31" s="9" t="s">
        <v>273</v>
      </c>
      <c r="E31" s="9" t="s">
        <v>4</v>
      </c>
      <c r="F31" s="9" t="s">
        <v>4</v>
      </c>
      <c r="G31" s="9" t="s">
        <v>4</v>
      </c>
      <c r="H31" s="9" t="s">
        <v>4</v>
      </c>
      <c r="I31" s="9" t="s">
        <v>4</v>
      </c>
      <c r="J31" s="9" t="s">
        <v>4</v>
      </c>
      <c r="K31" s="9" t="s">
        <v>4</v>
      </c>
      <c r="L31" s="9" t="s">
        <v>4</v>
      </c>
      <c r="M31" s="9" t="s">
        <v>4</v>
      </c>
      <c r="N31" s="9" t="s">
        <v>4</v>
      </c>
      <c r="O31" s="9" t="s">
        <v>4</v>
      </c>
      <c r="P31" s="9" t="s">
        <v>4</v>
      </c>
      <c r="Q31" s="9" t="s">
        <v>4</v>
      </c>
      <c r="R31" s="9" t="s">
        <v>4</v>
      </c>
      <c r="S31" s="9" t="s">
        <v>4</v>
      </c>
      <c r="T31" s="9" t="s">
        <v>4</v>
      </c>
      <c r="U31" s="9" t="s">
        <v>4</v>
      </c>
      <c r="V31" s="9" t="s">
        <v>4</v>
      </c>
      <c r="W31" s="9" t="s">
        <v>4</v>
      </c>
      <c r="X31" s="9" t="s">
        <v>4</v>
      </c>
      <c r="Y31" s="9" t="s">
        <v>4</v>
      </c>
      <c r="Z31" s="25" t="s">
        <v>4</v>
      </c>
    </row>
    <row r="32" spans="1:26" x14ac:dyDescent="0.2">
      <c r="A32" s="47"/>
      <c r="B32" s="2" t="s">
        <v>35</v>
      </c>
      <c r="C32" s="9" t="s">
        <v>3</v>
      </c>
      <c r="D32" s="9" t="s">
        <v>3</v>
      </c>
      <c r="E32" s="9" t="s">
        <v>4</v>
      </c>
      <c r="F32" s="9" t="s">
        <v>4</v>
      </c>
      <c r="G32" s="9" t="s">
        <v>4</v>
      </c>
      <c r="H32" s="9" t="s">
        <v>4</v>
      </c>
      <c r="I32" s="9" t="s">
        <v>4</v>
      </c>
      <c r="J32" s="9" t="s">
        <v>4</v>
      </c>
      <c r="K32" s="9" t="s">
        <v>4</v>
      </c>
      <c r="L32" s="9" t="s">
        <v>4</v>
      </c>
      <c r="M32" s="9" t="s">
        <v>4</v>
      </c>
      <c r="N32" s="9" t="s">
        <v>4</v>
      </c>
      <c r="O32" s="9" t="s">
        <v>4</v>
      </c>
      <c r="P32" s="9" t="s">
        <v>4</v>
      </c>
      <c r="Q32" s="9" t="s">
        <v>4</v>
      </c>
      <c r="R32" s="9" t="s">
        <v>4</v>
      </c>
      <c r="S32" s="9" t="s">
        <v>4</v>
      </c>
      <c r="T32" s="9" t="s">
        <v>4</v>
      </c>
      <c r="U32" s="9" t="s">
        <v>4</v>
      </c>
      <c r="V32" s="9" t="s">
        <v>4</v>
      </c>
      <c r="W32" s="9" t="s">
        <v>4</v>
      </c>
      <c r="X32" s="9" t="s">
        <v>4</v>
      </c>
      <c r="Y32" s="9" t="s">
        <v>4</v>
      </c>
      <c r="Z32" s="25" t="s">
        <v>4</v>
      </c>
    </row>
    <row r="33" spans="1:26" x14ac:dyDescent="0.2">
      <c r="A33" s="47"/>
      <c r="B33" s="2" t="s">
        <v>36</v>
      </c>
      <c r="C33" s="9" t="s">
        <v>273</v>
      </c>
      <c r="D33" s="9" t="s">
        <v>273</v>
      </c>
      <c r="E33" s="9" t="s">
        <v>4</v>
      </c>
      <c r="F33" s="9" t="s">
        <v>4</v>
      </c>
      <c r="G33" s="9" t="s">
        <v>4</v>
      </c>
      <c r="H33" s="9" t="s">
        <v>4</v>
      </c>
      <c r="I33" s="9" t="s">
        <v>4</v>
      </c>
      <c r="J33" s="9" t="s">
        <v>4</v>
      </c>
      <c r="K33" s="9" t="s">
        <v>4</v>
      </c>
      <c r="L33" s="9" t="s">
        <v>4</v>
      </c>
      <c r="M33" s="9" t="s">
        <v>4</v>
      </c>
      <c r="N33" s="9" t="s">
        <v>4</v>
      </c>
      <c r="O33" s="9" t="s">
        <v>4</v>
      </c>
      <c r="P33" s="9" t="s">
        <v>4</v>
      </c>
      <c r="Q33" s="9" t="s">
        <v>4</v>
      </c>
      <c r="R33" s="9" t="s">
        <v>4</v>
      </c>
      <c r="S33" s="9" t="s">
        <v>4</v>
      </c>
      <c r="T33" s="9" t="s">
        <v>4</v>
      </c>
      <c r="U33" s="9" t="s">
        <v>4</v>
      </c>
      <c r="V33" s="9" t="s">
        <v>4</v>
      </c>
      <c r="W33" s="9" t="s">
        <v>4</v>
      </c>
      <c r="X33" s="9" t="s">
        <v>4</v>
      </c>
      <c r="Y33" s="9" t="s">
        <v>4</v>
      </c>
      <c r="Z33" s="25" t="s">
        <v>4</v>
      </c>
    </row>
    <row r="34" spans="1:26" x14ac:dyDescent="0.2">
      <c r="A34" s="47"/>
      <c r="B34" s="2" t="s">
        <v>37</v>
      </c>
      <c r="C34" s="9" t="s">
        <v>273</v>
      </c>
      <c r="D34" s="9" t="s">
        <v>273</v>
      </c>
      <c r="E34" s="9" t="s">
        <v>4</v>
      </c>
      <c r="F34" s="9" t="s">
        <v>4</v>
      </c>
      <c r="G34" s="9" t="s">
        <v>4</v>
      </c>
      <c r="H34" s="9" t="s">
        <v>4</v>
      </c>
      <c r="I34" s="9" t="s">
        <v>4</v>
      </c>
      <c r="J34" s="9" t="s">
        <v>4</v>
      </c>
      <c r="K34" s="9" t="s">
        <v>4</v>
      </c>
      <c r="L34" s="9" t="s">
        <v>4</v>
      </c>
      <c r="M34" s="9" t="s">
        <v>4</v>
      </c>
      <c r="N34" s="9" t="s">
        <v>4</v>
      </c>
      <c r="O34" s="9" t="s">
        <v>4</v>
      </c>
      <c r="P34" s="9" t="s">
        <v>4</v>
      </c>
      <c r="Q34" s="9" t="s">
        <v>4</v>
      </c>
      <c r="R34" s="9" t="s">
        <v>4</v>
      </c>
      <c r="S34" s="9" t="s">
        <v>4</v>
      </c>
      <c r="T34" s="9" t="s">
        <v>4</v>
      </c>
      <c r="U34" s="9" t="s">
        <v>4</v>
      </c>
      <c r="V34" s="9" t="s">
        <v>4</v>
      </c>
      <c r="W34" s="9" t="s">
        <v>4</v>
      </c>
      <c r="X34" s="9" t="s">
        <v>4</v>
      </c>
      <c r="Y34" s="9" t="s">
        <v>4</v>
      </c>
      <c r="Z34" s="25" t="s">
        <v>4</v>
      </c>
    </row>
    <row r="35" spans="1:26" x14ac:dyDescent="0.2">
      <c r="A35" s="47"/>
      <c r="B35" s="2" t="s">
        <v>38</v>
      </c>
      <c r="C35" s="9" t="s">
        <v>273</v>
      </c>
      <c r="D35" s="9" t="s">
        <v>273</v>
      </c>
      <c r="E35" s="9" t="s">
        <v>4</v>
      </c>
      <c r="F35" s="9" t="s">
        <v>4</v>
      </c>
      <c r="G35" s="9" t="s">
        <v>4</v>
      </c>
      <c r="H35" s="9" t="s">
        <v>4</v>
      </c>
      <c r="I35" s="9" t="s">
        <v>4</v>
      </c>
      <c r="J35" s="9" t="s">
        <v>4</v>
      </c>
      <c r="K35" s="9" t="s">
        <v>4</v>
      </c>
      <c r="L35" s="9" t="s">
        <v>4</v>
      </c>
      <c r="M35" s="9" t="s">
        <v>4</v>
      </c>
      <c r="N35" s="9" t="s">
        <v>4</v>
      </c>
      <c r="O35" s="9" t="s">
        <v>4</v>
      </c>
      <c r="P35" s="9" t="s">
        <v>4</v>
      </c>
      <c r="Q35" s="9" t="s">
        <v>4</v>
      </c>
      <c r="R35" s="9" t="s">
        <v>4</v>
      </c>
      <c r="S35" s="9" t="s">
        <v>4</v>
      </c>
      <c r="T35" s="9" t="s">
        <v>4</v>
      </c>
      <c r="U35" s="9" t="s">
        <v>4</v>
      </c>
      <c r="V35" s="9" t="s">
        <v>4</v>
      </c>
      <c r="W35" s="9" t="s">
        <v>4</v>
      </c>
      <c r="X35" s="9" t="s">
        <v>4</v>
      </c>
      <c r="Y35" s="9" t="s">
        <v>4</v>
      </c>
      <c r="Z35" s="25" t="s">
        <v>4</v>
      </c>
    </row>
    <row r="36" spans="1:26" x14ac:dyDescent="0.2">
      <c r="A36" s="47"/>
      <c r="B36" s="2" t="s">
        <v>39</v>
      </c>
      <c r="C36" s="9" t="s">
        <v>273</v>
      </c>
      <c r="D36" s="9" t="s">
        <v>273</v>
      </c>
      <c r="E36" s="9" t="s">
        <v>4</v>
      </c>
      <c r="F36" s="9" t="s">
        <v>4</v>
      </c>
      <c r="G36" s="9" t="s">
        <v>4</v>
      </c>
      <c r="H36" s="9" t="s">
        <v>4</v>
      </c>
      <c r="I36" s="9" t="s">
        <v>4</v>
      </c>
      <c r="J36" s="9" t="s">
        <v>4</v>
      </c>
      <c r="K36" s="9" t="s">
        <v>4</v>
      </c>
      <c r="L36" s="9" t="s">
        <v>4</v>
      </c>
      <c r="M36" s="9" t="s">
        <v>4</v>
      </c>
      <c r="N36" s="9" t="s">
        <v>4</v>
      </c>
      <c r="O36" s="9" t="s">
        <v>4</v>
      </c>
      <c r="P36" s="9" t="s">
        <v>4</v>
      </c>
      <c r="Q36" s="9" t="s">
        <v>4</v>
      </c>
      <c r="R36" s="9" t="s">
        <v>4</v>
      </c>
      <c r="S36" s="9" t="s">
        <v>4</v>
      </c>
      <c r="T36" s="9" t="s">
        <v>4</v>
      </c>
      <c r="U36" s="9" t="s">
        <v>4</v>
      </c>
      <c r="V36" s="9" t="s">
        <v>4</v>
      </c>
      <c r="W36" s="9" t="s">
        <v>4</v>
      </c>
      <c r="X36" s="9" t="s">
        <v>4</v>
      </c>
      <c r="Y36" s="9" t="s">
        <v>4</v>
      </c>
      <c r="Z36" s="25" t="s">
        <v>4</v>
      </c>
    </row>
    <row r="37" spans="1:26" ht="15.75" customHeight="1" thickBot="1" x14ac:dyDescent="0.25">
      <c r="A37" s="48"/>
      <c r="B37" s="26" t="s">
        <v>40</v>
      </c>
      <c r="C37" s="27" t="s">
        <v>4</v>
      </c>
      <c r="D37" s="27" t="s">
        <v>4</v>
      </c>
      <c r="E37" s="27" t="s">
        <v>4</v>
      </c>
      <c r="F37" s="27" t="s">
        <v>4</v>
      </c>
      <c r="G37" s="27" t="s">
        <v>4</v>
      </c>
      <c r="H37" s="27" t="s">
        <v>4</v>
      </c>
      <c r="I37" s="27" t="s">
        <v>4</v>
      </c>
      <c r="J37" s="27" t="s">
        <v>4</v>
      </c>
      <c r="K37" s="27" t="s">
        <v>4</v>
      </c>
      <c r="L37" s="27" t="s">
        <v>4</v>
      </c>
      <c r="M37" s="27" t="s">
        <v>4</v>
      </c>
      <c r="N37" s="27" t="s">
        <v>4</v>
      </c>
      <c r="O37" s="27" t="s">
        <v>4</v>
      </c>
      <c r="P37" s="27" t="s">
        <v>4</v>
      </c>
      <c r="Q37" s="27" t="s">
        <v>4</v>
      </c>
      <c r="R37" s="27" t="s">
        <v>4</v>
      </c>
      <c r="S37" s="27" t="s">
        <v>4</v>
      </c>
      <c r="T37" s="27" t="s">
        <v>4</v>
      </c>
      <c r="U37" s="27" t="s">
        <v>4</v>
      </c>
      <c r="V37" s="27" t="s">
        <v>4</v>
      </c>
      <c r="W37" s="27" t="s">
        <v>4</v>
      </c>
      <c r="X37" s="27" t="s">
        <v>4</v>
      </c>
      <c r="Y37" s="27" t="s">
        <v>4</v>
      </c>
      <c r="Z37" s="28" t="s">
        <v>4</v>
      </c>
    </row>
    <row r="38" spans="1:26" x14ac:dyDescent="0.2">
      <c r="A38" s="46" t="s">
        <v>41</v>
      </c>
      <c r="B38" s="22" t="s">
        <v>42</v>
      </c>
      <c r="C38" s="23" t="s">
        <v>273</v>
      </c>
      <c r="D38" s="23" t="s">
        <v>273</v>
      </c>
      <c r="E38" s="23" t="s">
        <v>4</v>
      </c>
      <c r="F38" s="23" t="s">
        <v>4</v>
      </c>
      <c r="G38" s="23" t="s">
        <v>4</v>
      </c>
      <c r="H38" s="23" t="s">
        <v>4</v>
      </c>
      <c r="I38" s="23" t="s">
        <v>4</v>
      </c>
      <c r="J38" s="23" t="s">
        <v>4</v>
      </c>
      <c r="K38" s="23" t="s">
        <v>4</v>
      </c>
      <c r="L38" s="23" t="s">
        <v>4</v>
      </c>
      <c r="M38" s="23" t="s">
        <v>4</v>
      </c>
      <c r="N38" s="23" t="s">
        <v>4</v>
      </c>
      <c r="O38" s="23" t="s">
        <v>4</v>
      </c>
      <c r="P38" s="23" t="s">
        <v>4</v>
      </c>
      <c r="Q38" s="23" t="s">
        <v>4</v>
      </c>
      <c r="R38" s="23" t="s">
        <v>4</v>
      </c>
      <c r="S38" s="23" t="s">
        <v>4</v>
      </c>
      <c r="T38" s="23" t="s">
        <v>4</v>
      </c>
      <c r="U38" s="23" t="s">
        <v>4</v>
      </c>
      <c r="V38" s="23" t="s">
        <v>4</v>
      </c>
      <c r="W38" s="23" t="s">
        <v>4</v>
      </c>
      <c r="X38" s="23" t="s">
        <v>4</v>
      </c>
      <c r="Y38" s="23" t="s">
        <v>4</v>
      </c>
      <c r="Z38" s="24" t="s">
        <v>4</v>
      </c>
    </row>
    <row r="39" spans="1:26" x14ac:dyDescent="0.2">
      <c r="A39" s="47"/>
      <c r="B39" s="2" t="s">
        <v>43</v>
      </c>
      <c r="C39" s="9" t="s">
        <v>273</v>
      </c>
      <c r="D39" s="9" t="s">
        <v>273</v>
      </c>
      <c r="E39" s="9" t="s">
        <v>4</v>
      </c>
      <c r="F39" s="9" t="s">
        <v>4</v>
      </c>
      <c r="G39" s="9" t="s">
        <v>4</v>
      </c>
      <c r="H39" s="9" t="s">
        <v>4</v>
      </c>
      <c r="I39" s="9" t="s">
        <v>4</v>
      </c>
      <c r="J39" s="9" t="s">
        <v>4</v>
      </c>
      <c r="K39" s="9" t="s">
        <v>4</v>
      </c>
      <c r="L39" s="9" t="s">
        <v>4</v>
      </c>
      <c r="M39" s="9" t="s">
        <v>4</v>
      </c>
      <c r="N39" s="9" t="s">
        <v>4</v>
      </c>
      <c r="O39" s="9" t="s">
        <v>4</v>
      </c>
      <c r="P39" s="9" t="s">
        <v>4</v>
      </c>
      <c r="Q39" s="9" t="s">
        <v>4</v>
      </c>
      <c r="R39" s="9" t="s">
        <v>4</v>
      </c>
      <c r="S39" s="9" t="s">
        <v>4</v>
      </c>
      <c r="T39" s="9" t="s">
        <v>4</v>
      </c>
      <c r="U39" s="9" t="s">
        <v>4</v>
      </c>
      <c r="V39" s="9" t="s">
        <v>4</v>
      </c>
      <c r="W39" s="9" t="s">
        <v>4</v>
      </c>
      <c r="X39" s="9" t="s">
        <v>4</v>
      </c>
      <c r="Y39" s="9" t="s">
        <v>4</v>
      </c>
      <c r="Z39" s="25" t="s">
        <v>4</v>
      </c>
    </row>
    <row r="40" spans="1:26" x14ac:dyDescent="0.2">
      <c r="A40" s="47"/>
      <c r="B40" s="2" t="s">
        <v>44</v>
      </c>
      <c r="C40" s="9" t="s">
        <v>273</v>
      </c>
      <c r="D40" s="9" t="s">
        <v>273</v>
      </c>
      <c r="E40" s="9" t="s">
        <v>4</v>
      </c>
      <c r="F40" s="9" t="s">
        <v>4</v>
      </c>
      <c r="G40" s="9" t="s">
        <v>4</v>
      </c>
      <c r="H40" s="9" t="s">
        <v>4</v>
      </c>
      <c r="I40" s="9" t="s">
        <v>4</v>
      </c>
      <c r="J40" s="9" t="s">
        <v>4</v>
      </c>
      <c r="K40" s="9" t="s">
        <v>4</v>
      </c>
      <c r="L40" s="9" t="s">
        <v>4</v>
      </c>
      <c r="M40" s="9" t="s">
        <v>4</v>
      </c>
      <c r="N40" s="9" t="s">
        <v>4</v>
      </c>
      <c r="O40" s="9" t="s">
        <v>4</v>
      </c>
      <c r="P40" s="9" t="s">
        <v>4</v>
      </c>
      <c r="Q40" s="9" t="s">
        <v>4</v>
      </c>
      <c r="R40" s="9" t="s">
        <v>4</v>
      </c>
      <c r="S40" s="9" t="s">
        <v>4</v>
      </c>
      <c r="T40" s="9" t="s">
        <v>4</v>
      </c>
      <c r="U40" s="9" t="s">
        <v>4</v>
      </c>
      <c r="V40" s="9" t="s">
        <v>4</v>
      </c>
      <c r="W40" s="9" t="s">
        <v>4</v>
      </c>
      <c r="X40" s="9" t="s">
        <v>4</v>
      </c>
      <c r="Y40" s="9" t="s">
        <v>4</v>
      </c>
      <c r="Z40" s="25" t="s">
        <v>4</v>
      </c>
    </row>
    <row r="41" spans="1:26" x14ac:dyDescent="0.2">
      <c r="A41" s="47"/>
      <c r="B41" s="2" t="s">
        <v>45</v>
      </c>
      <c r="C41" s="9" t="s">
        <v>273</v>
      </c>
      <c r="D41" s="9" t="s">
        <v>273</v>
      </c>
      <c r="E41" s="9" t="s">
        <v>4</v>
      </c>
      <c r="F41" s="9" t="s">
        <v>4</v>
      </c>
      <c r="G41" s="9" t="s">
        <v>4</v>
      </c>
      <c r="H41" s="9" t="s">
        <v>4</v>
      </c>
      <c r="I41" s="9" t="s">
        <v>4</v>
      </c>
      <c r="J41" s="9" t="s">
        <v>4</v>
      </c>
      <c r="K41" s="9" t="s">
        <v>4</v>
      </c>
      <c r="L41" s="9" t="s">
        <v>4</v>
      </c>
      <c r="M41" s="9" t="s">
        <v>4</v>
      </c>
      <c r="N41" s="9" t="s">
        <v>4</v>
      </c>
      <c r="O41" s="9" t="s">
        <v>4</v>
      </c>
      <c r="P41" s="9" t="s">
        <v>4</v>
      </c>
      <c r="Q41" s="9" t="s">
        <v>4</v>
      </c>
      <c r="R41" s="9" t="s">
        <v>4</v>
      </c>
      <c r="S41" s="9" t="s">
        <v>4</v>
      </c>
      <c r="T41" s="9" t="s">
        <v>4</v>
      </c>
      <c r="U41" s="9" t="s">
        <v>4</v>
      </c>
      <c r="V41" s="9" t="s">
        <v>4</v>
      </c>
      <c r="W41" s="9" t="s">
        <v>4</v>
      </c>
      <c r="X41" s="9" t="s">
        <v>4</v>
      </c>
      <c r="Y41" s="9" t="s">
        <v>4</v>
      </c>
      <c r="Z41" s="25" t="s">
        <v>4</v>
      </c>
    </row>
    <row r="42" spans="1:26" x14ac:dyDescent="0.2">
      <c r="A42" s="47"/>
      <c r="B42" s="2" t="s">
        <v>46</v>
      </c>
      <c r="C42" s="9" t="s">
        <v>269</v>
      </c>
      <c r="D42" s="9" t="s">
        <v>269</v>
      </c>
      <c r="E42" s="9" t="s">
        <v>4</v>
      </c>
      <c r="F42" s="9" t="s">
        <v>4</v>
      </c>
      <c r="G42" s="9" t="s">
        <v>4</v>
      </c>
      <c r="H42" s="9" t="s">
        <v>4</v>
      </c>
      <c r="I42" s="9" t="s">
        <v>4</v>
      </c>
      <c r="J42" s="9" t="s">
        <v>4</v>
      </c>
      <c r="K42" s="9" t="s">
        <v>4</v>
      </c>
      <c r="L42" s="9" t="s">
        <v>4</v>
      </c>
      <c r="M42" s="9" t="s">
        <v>4</v>
      </c>
      <c r="N42" s="9" t="s">
        <v>4</v>
      </c>
      <c r="O42" s="9" t="s">
        <v>4</v>
      </c>
      <c r="P42" s="9" t="s">
        <v>4</v>
      </c>
      <c r="Q42" s="9" t="s">
        <v>4</v>
      </c>
      <c r="R42" s="9" t="s">
        <v>4</v>
      </c>
      <c r="S42" s="9" t="s">
        <v>4</v>
      </c>
      <c r="T42" s="9" t="s">
        <v>4</v>
      </c>
      <c r="U42" s="9" t="s">
        <v>4</v>
      </c>
      <c r="V42" s="9" t="s">
        <v>4</v>
      </c>
      <c r="W42" s="9" t="s">
        <v>4</v>
      </c>
      <c r="X42" s="9" t="s">
        <v>4</v>
      </c>
      <c r="Y42" s="9" t="s">
        <v>4</v>
      </c>
      <c r="Z42" s="25" t="s">
        <v>4</v>
      </c>
    </row>
    <row r="43" spans="1:26" x14ac:dyDescent="0.2">
      <c r="A43" s="47"/>
      <c r="B43" s="2" t="s">
        <v>47</v>
      </c>
      <c r="C43" s="9" t="s">
        <v>273</v>
      </c>
      <c r="D43" s="9" t="s">
        <v>273</v>
      </c>
      <c r="E43" s="9" t="s">
        <v>4</v>
      </c>
      <c r="F43" s="9" t="s">
        <v>4</v>
      </c>
      <c r="G43" s="9" t="s">
        <v>4</v>
      </c>
      <c r="H43" s="9" t="s">
        <v>4</v>
      </c>
      <c r="I43" s="9" t="s">
        <v>4</v>
      </c>
      <c r="J43" s="9" t="s">
        <v>4</v>
      </c>
      <c r="K43" s="9" t="s">
        <v>4</v>
      </c>
      <c r="L43" s="9" t="s">
        <v>4</v>
      </c>
      <c r="M43" s="9" t="s">
        <v>4</v>
      </c>
      <c r="N43" s="9" t="s">
        <v>4</v>
      </c>
      <c r="O43" s="9" t="s">
        <v>4</v>
      </c>
      <c r="P43" s="9" t="s">
        <v>4</v>
      </c>
      <c r="Q43" s="9" t="s">
        <v>4</v>
      </c>
      <c r="R43" s="9" t="s">
        <v>4</v>
      </c>
      <c r="S43" s="9" t="s">
        <v>4</v>
      </c>
      <c r="T43" s="9" t="s">
        <v>4</v>
      </c>
      <c r="U43" s="9" t="s">
        <v>4</v>
      </c>
      <c r="V43" s="9" t="s">
        <v>4</v>
      </c>
      <c r="W43" s="9" t="s">
        <v>4</v>
      </c>
      <c r="X43" s="9" t="s">
        <v>4</v>
      </c>
      <c r="Y43" s="9" t="s">
        <v>4</v>
      </c>
      <c r="Z43" s="25" t="s">
        <v>4</v>
      </c>
    </row>
    <row r="44" spans="1:26" x14ac:dyDescent="0.2">
      <c r="A44" s="47"/>
      <c r="B44" s="2" t="s">
        <v>48</v>
      </c>
      <c r="C44" s="9" t="s">
        <v>273</v>
      </c>
      <c r="D44" s="9" t="s">
        <v>273</v>
      </c>
      <c r="E44" s="9" t="s">
        <v>4</v>
      </c>
      <c r="F44" s="9" t="s">
        <v>4</v>
      </c>
      <c r="G44" s="9" t="s">
        <v>4</v>
      </c>
      <c r="H44" s="9" t="s">
        <v>4</v>
      </c>
      <c r="I44" s="9" t="s">
        <v>4</v>
      </c>
      <c r="J44" s="9" t="s">
        <v>4</v>
      </c>
      <c r="K44" s="9" t="s">
        <v>4</v>
      </c>
      <c r="L44" s="9" t="s">
        <v>4</v>
      </c>
      <c r="M44" s="9" t="s">
        <v>4</v>
      </c>
      <c r="N44" s="9" t="s">
        <v>4</v>
      </c>
      <c r="O44" s="9" t="s">
        <v>4</v>
      </c>
      <c r="P44" s="9" t="s">
        <v>4</v>
      </c>
      <c r="Q44" s="9" t="s">
        <v>4</v>
      </c>
      <c r="R44" s="9" t="s">
        <v>4</v>
      </c>
      <c r="S44" s="9" t="s">
        <v>4</v>
      </c>
      <c r="T44" s="9" t="s">
        <v>4</v>
      </c>
      <c r="U44" s="9" t="s">
        <v>4</v>
      </c>
      <c r="V44" s="9" t="s">
        <v>4</v>
      </c>
      <c r="W44" s="9" t="s">
        <v>4</v>
      </c>
      <c r="X44" s="9" t="s">
        <v>4</v>
      </c>
      <c r="Y44" s="9" t="s">
        <v>4</v>
      </c>
      <c r="Z44" s="25" t="s">
        <v>4</v>
      </c>
    </row>
    <row r="45" spans="1:26" x14ac:dyDescent="0.2">
      <c r="A45" s="47"/>
      <c r="B45" s="2" t="s">
        <v>49</v>
      </c>
      <c r="C45" s="9" t="s">
        <v>269</v>
      </c>
      <c r="D45" s="9" t="s">
        <v>273</v>
      </c>
      <c r="E45" s="9" t="s">
        <v>4</v>
      </c>
      <c r="F45" s="9" t="s">
        <v>4</v>
      </c>
      <c r="G45" s="9" t="s">
        <v>4</v>
      </c>
      <c r="H45" s="9" t="s">
        <v>4</v>
      </c>
      <c r="I45" s="9" t="s">
        <v>4</v>
      </c>
      <c r="J45" s="9" t="s">
        <v>4</v>
      </c>
      <c r="K45" s="9" t="s">
        <v>4</v>
      </c>
      <c r="L45" s="9" t="s">
        <v>4</v>
      </c>
      <c r="M45" s="9" t="s">
        <v>4</v>
      </c>
      <c r="N45" s="9" t="s">
        <v>4</v>
      </c>
      <c r="O45" s="9" t="s">
        <v>4</v>
      </c>
      <c r="P45" s="9" t="s">
        <v>4</v>
      </c>
      <c r="Q45" s="9" t="s">
        <v>4</v>
      </c>
      <c r="R45" s="9" t="s">
        <v>4</v>
      </c>
      <c r="S45" s="9" t="s">
        <v>4</v>
      </c>
      <c r="T45" s="9" t="s">
        <v>4</v>
      </c>
      <c r="U45" s="9" t="s">
        <v>4</v>
      </c>
      <c r="V45" s="9" t="s">
        <v>4</v>
      </c>
      <c r="W45" s="9" t="s">
        <v>4</v>
      </c>
      <c r="X45" s="9" t="s">
        <v>4</v>
      </c>
      <c r="Y45" s="9" t="s">
        <v>4</v>
      </c>
      <c r="Z45" s="25" t="s">
        <v>4</v>
      </c>
    </row>
    <row r="46" spans="1:26" ht="15.75" customHeight="1" thickBot="1" x14ac:dyDescent="0.25">
      <c r="A46" s="48"/>
      <c r="B46" s="26" t="s">
        <v>50</v>
      </c>
      <c r="C46" s="27" t="s">
        <v>273</v>
      </c>
      <c r="D46" s="27" t="s">
        <v>273</v>
      </c>
      <c r="E46" s="27" t="s">
        <v>4</v>
      </c>
      <c r="F46" s="27" t="s">
        <v>4</v>
      </c>
      <c r="G46" s="27" t="s">
        <v>4</v>
      </c>
      <c r="H46" s="27" t="s">
        <v>4</v>
      </c>
      <c r="I46" s="27" t="s">
        <v>4</v>
      </c>
      <c r="J46" s="27" t="s">
        <v>4</v>
      </c>
      <c r="K46" s="27" t="s">
        <v>4</v>
      </c>
      <c r="L46" s="27" t="s">
        <v>4</v>
      </c>
      <c r="M46" s="27" t="s">
        <v>4</v>
      </c>
      <c r="N46" s="27" t="s">
        <v>4</v>
      </c>
      <c r="O46" s="27" t="s">
        <v>4</v>
      </c>
      <c r="P46" s="27" t="s">
        <v>4</v>
      </c>
      <c r="Q46" s="27" t="s">
        <v>4</v>
      </c>
      <c r="R46" s="27" t="s">
        <v>4</v>
      </c>
      <c r="S46" s="27" t="s">
        <v>4</v>
      </c>
      <c r="T46" s="27" t="s">
        <v>4</v>
      </c>
      <c r="U46" s="27" t="s">
        <v>4</v>
      </c>
      <c r="V46" s="27" t="s">
        <v>4</v>
      </c>
      <c r="W46" s="27" t="s">
        <v>4</v>
      </c>
      <c r="X46" s="27" t="s">
        <v>4</v>
      </c>
      <c r="Y46" s="27" t="s">
        <v>4</v>
      </c>
      <c r="Z46" s="28" t="s">
        <v>4</v>
      </c>
    </row>
    <row r="47" spans="1:26" ht="15.75" customHeight="1" thickBot="1" x14ac:dyDescent="0.25">
      <c r="A47" s="29"/>
      <c r="B47" s="30"/>
      <c r="C47" s="30"/>
      <c r="D47" s="30"/>
      <c r="E47" s="30"/>
      <c r="F47" s="30"/>
      <c r="G47" s="30"/>
      <c r="H47" s="30"/>
      <c r="I47" s="30"/>
      <c r="J47" s="30"/>
      <c r="K47" s="30"/>
      <c r="L47" s="30"/>
      <c r="M47" s="30"/>
      <c r="N47" s="30"/>
      <c r="O47" s="30"/>
      <c r="P47" s="30"/>
      <c r="Q47" s="30"/>
      <c r="R47" s="30"/>
      <c r="S47" s="30"/>
      <c r="T47" s="30"/>
      <c r="U47" s="30"/>
      <c r="V47" s="30"/>
      <c r="W47" s="30"/>
      <c r="X47" s="30"/>
      <c r="Y47" s="30"/>
      <c r="Z47" s="31"/>
    </row>
    <row r="48" spans="1:26" ht="15.75" customHeight="1" thickBot="1" x14ac:dyDescent="0.25">
      <c r="A48" s="57" t="s">
        <v>51</v>
      </c>
      <c r="B48" s="58"/>
      <c r="C48" s="59"/>
      <c r="D48" s="59"/>
      <c r="E48" s="59"/>
      <c r="F48" s="59"/>
      <c r="G48" s="59"/>
      <c r="H48" s="59"/>
      <c r="I48" s="59"/>
      <c r="J48" s="59"/>
      <c r="K48" s="59"/>
      <c r="L48" s="59"/>
      <c r="M48" s="59"/>
      <c r="N48" s="59"/>
      <c r="O48" s="59"/>
      <c r="P48" s="59"/>
      <c r="Q48" s="59"/>
      <c r="R48" s="59"/>
      <c r="S48" s="59"/>
      <c r="T48" s="59"/>
      <c r="U48" s="59"/>
      <c r="V48" s="59"/>
      <c r="W48" s="59"/>
      <c r="X48" s="59"/>
      <c r="Y48" s="59"/>
      <c r="Z48" s="60"/>
    </row>
    <row r="49" spans="1:26" x14ac:dyDescent="0.2">
      <c r="A49" s="46" t="s">
        <v>52</v>
      </c>
      <c r="B49" s="32" t="s">
        <v>53</v>
      </c>
      <c r="C49" s="23" t="s">
        <v>3</v>
      </c>
      <c r="D49" s="23" t="s">
        <v>3</v>
      </c>
      <c r="E49" s="23" t="s">
        <v>4</v>
      </c>
      <c r="F49" s="23" t="s">
        <v>4</v>
      </c>
      <c r="G49" s="23" t="s">
        <v>4</v>
      </c>
      <c r="H49" s="23" t="s">
        <v>4</v>
      </c>
      <c r="I49" s="23" t="s">
        <v>4</v>
      </c>
      <c r="J49" s="23" t="s">
        <v>4</v>
      </c>
      <c r="K49" s="23" t="s">
        <v>4</v>
      </c>
      <c r="L49" s="23" t="s">
        <v>4</v>
      </c>
      <c r="M49" s="23" t="s">
        <v>4</v>
      </c>
      <c r="N49" s="23" t="s">
        <v>4</v>
      </c>
      <c r="O49" s="23" t="s">
        <v>4</v>
      </c>
      <c r="P49" s="23" t="s">
        <v>4</v>
      </c>
      <c r="Q49" s="23" t="s">
        <v>4</v>
      </c>
      <c r="R49" s="23" t="s">
        <v>4</v>
      </c>
      <c r="S49" s="23" t="s">
        <v>4</v>
      </c>
      <c r="T49" s="23" t="s">
        <v>4</v>
      </c>
      <c r="U49" s="23" t="s">
        <v>4</v>
      </c>
      <c r="V49" s="23" t="s">
        <v>4</v>
      </c>
      <c r="W49" s="23" t="s">
        <v>4</v>
      </c>
      <c r="X49" s="23" t="s">
        <v>4</v>
      </c>
      <c r="Y49" s="23" t="s">
        <v>4</v>
      </c>
      <c r="Z49" s="24" t="s">
        <v>4</v>
      </c>
    </row>
    <row r="50" spans="1:26" x14ac:dyDescent="0.2">
      <c r="A50" s="47"/>
      <c r="B50" s="3" t="s">
        <v>54</v>
      </c>
      <c r="C50" s="9" t="s">
        <v>3</v>
      </c>
      <c r="D50" s="9" t="s">
        <v>3</v>
      </c>
      <c r="E50" s="9" t="s">
        <v>4</v>
      </c>
      <c r="F50" s="9" t="s">
        <v>4</v>
      </c>
      <c r="G50" s="9" t="s">
        <v>4</v>
      </c>
      <c r="H50" s="9" t="s">
        <v>4</v>
      </c>
      <c r="I50" s="9" t="s">
        <v>4</v>
      </c>
      <c r="J50" s="9" t="s">
        <v>4</v>
      </c>
      <c r="K50" s="9" t="s">
        <v>4</v>
      </c>
      <c r="L50" s="9" t="s">
        <v>4</v>
      </c>
      <c r="M50" s="9" t="s">
        <v>4</v>
      </c>
      <c r="N50" s="9" t="s">
        <v>4</v>
      </c>
      <c r="O50" s="9" t="s">
        <v>4</v>
      </c>
      <c r="P50" s="9" t="s">
        <v>4</v>
      </c>
      <c r="Q50" s="9" t="s">
        <v>4</v>
      </c>
      <c r="R50" s="9" t="s">
        <v>4</v>
      </c>
      <c r="S50" s="9" t="s">
        <v>4</v>
      </c>
      <c r="T50" s="9" t="s">
        <v>4</v>
      </c>
      <c r="U50" s="9" t="s">
        <v>4</v>
      </c>
      <c r="V50" s="9" t="s">
        <v>4</v>
      </c>
      <c r="W50" s="9" t="s">
        <v>4</v>
      </c>
      <c r="X50" s="9" t="s">
        <v>4</v>
      </c>
      <c r="Y50" s="9" t="s">
        <v>4</v>
      </c>
      <c r="Z50" s="25" t="s">
        <v>4</v>
      </c>
    </row>
    <row r="51" spans="1:26" x14ac:dyDescent="0.2">
      <c r="A51" s="47"/>
      <c r="B51" s="3" t="s">
        <v>55</v>
      </c>
      <c r="C51" s="9" t="s">
        <v>3</v>
      </c>
      <c r="D51" s="9" t="s">
        <v>3</v>
      </c>
      <c r="E51" s="9" t="s">
        <v>4</v>
      </c>
      <c r="F51" s="9" t="s">
        <v>4</v>
      </c>
      <c r="G51" s="9" t="s">
        <v>4</v>
      </c>
      <c r="H51" s="9" t="s">
        <v>4</v>
      </c>
      <c r="I51" s="9" t="s">
        <v>4</v>
      </c>
      <c r="J51" s="9" t="s">
        <v>4</v>
      </c>
      <c r="K51" s="9" t="s">
        <v>4</v>
      </c>
      <c r="L51" s="9" t="s">
        <v>4</v>
      </c>
      <c r="M51" s="9" t="s">
        <v>4</v>
      </c>
      <c r="N51" s="9" t="s">
        <v>4</v>
      </c>
      <c r="O51" s="9" t="s">
        <v>4</v>
      </c>
      <c r="P51" s="9" t="s">
        <v>4</v>
      </c>
      <c r="Q51" s="9" t="s">
        <v>4</v>
      </c>
      <c r="R51" s="9" t="s">
        <v>4</v>
      </c>
      <c r="S51" s="9" t="s">
        <v>4</v>
      </c>
      <c r="T51" s="9" t="s">
        <v>4</v>
      </c>
      <c r="U51" s="9" t="s">
        <v>4</v>
      </c>
      <c r="V51" s="9" t="s">
        <v>4</v>
      </c>
      <c r="W51" s="9" t="s">
        <v>4</v>
      </c>
      <c r="X51" s="9" t="s">
        <v>4</v>
      </c>
      <c r="Y51" s="9" t="s">
        <v>4</v>
      </c>
      <c r="Z51" s="25" t="s">
        <v>4</v>
      </c>
    </row>
    <row r="52" spans="1:26" x14ac:dyDescent="0.2">
      <c r="A52" s="47"/>
      <c r="B52" s="3" t="s">
        <v>56</v>
      </c>
      <c r="C52" s="9" t="s">
        <v>3</v>
      </c>
      <c r="D52" s="9" t="s">
        <v>3</v>
      </c>
      <c r="E52" s="9" t="s">
        <v>4</v>
      </c>
      <c r="F52" s="9" t="s">
        <v>4</v>
      </c>
      <c r="G52" s="9" t="s">
        <v>4</v>
      </c>
      <c r="H52" s="9" t="s">
        <v>4</v>
      </c>
      <c r="I52" s="9" t="s">
        <v>4</v>
      </c>
      <c r="J52" s="9" t="s">
        <v>4</v>
      </c>
      <c r="K52" s="9" t="s">
        <v>4</v>
      </c>
      <c r="L52" s="9" t="s">
        <v>4</v>
      </c>
      <c r="M52" s="9" t="s">
        <v>4</v>
      </c>
      <c r="N52" s="9" t="s">
        <v>4</v>
      </c>
      <c r="O52" s="9" t="s">
        <v>4</v>
      </c>
      <c r="P52" s="9" t="s">
        <v>4</v>
      </c>
      <c r="Q52" s="9" t="s">
        <v>4</v>
      </c>
      <c r="R52" s="9" t="s">
        <v>4</v>
      </c>
      <c r="S52" s="9" t="s">
        <v>4</v>
      </c>
      <c r="T52" s="9" t="s">
        <v>4</v>
      </c>
      <c r="U52" s="9" t="s">
        <v>4</v>
      </c>
      <c r="V52" s="9" t="s">
        <v>4</v>
      </c>
      <c r="W52" s="9" t="s">
        <v>4</v>
      </c>
      <c r="X52" s="9" t="s">
        <v>4</v>
      </c>
      <c r="Y52" s="9" t="s">
        <v>4</v>
      </c>
      <c r="Z52" s="25" t="s">
        <v>4</v>
      </c>
    </row>
    <row r="53" spans="1:26" x14ac:dyDescent="0.2">
      <c r="A53" s="47"/>
      <c r="B53" s="3" t="s">
        <v>57</v>
      </c>
      <c r="C53" s="9" t="s">
        <v>3</v>
      </c>
      <c r="D53" s="9" t="s">
        <v>3</v>
      </c>
      <c r="E53" s="9" t="s">
        <v>4</v>
      </c>
      <c r="F53" s="9" t="s">
        <v>4</v>
      </c>
      <c r="G53" s="9" t="s">
        <v>4</v>
      </c>
      <c r="H53" s="9" t="s">
        <v>4</v>
      </c>
      <c r="I53" s="9" t="s">
        <v>4</v>
      </c>
      <c r="J53" s="9" t="s">
        <v>4</v>
      </c>
      <c r="K53" s="9" t="s">
        <v>4</v>
      </c>
      <c r="L53" s="9" t="s">
        <v>4</v>
      </c>
      <c r="M53" s="9" t="s">
        <v>4</v>
      </c>
      <c r="N53" s="9" t="s">
        <v>4</v>
      </c>
      <c r="O53" s="9" t="s">
        <v>4</v>
      </c>
      <c r="P53" s="9" t="s">
        <v>4</v>
      </c>
      <c r="Q53" s="9" t="s">
        <v>4</v>
      </c>
      <c r="R53" s="9" t="s">
        <v>4</v>
      </c>
      <c r="S53" s="9" t="s">
        <v>4</v>
      </c>
      <c r="T53" s="9" t="s">
        <v>4</v>
      </c>
      <c r="U53" s="9" t="s">
        <v>4</v>
      </c>
      <c r="V53" s="9" t="s">
        <v>4</v>
      </c>
      <c r="W53" s="9" t="s">
        <v>4</v>
      </c>
      <c r="X53" s="9" t="s">
        <v>4</v>
      </c>
      <c r="Y53" s="9" t="s">
        <v>4</v>
      </c>
      <c r="Z53" s="25" t="s">
        <v>4</v>
      </c>
    </row>
    <row r="54" spans="1:26" x14ac:dyDescent="0.2">
      <c r="A54" s="47"/>
      <c r="B54" s="3" t="s">
        <v>58</v>
      </c>
      <c r="C54" s="9" t="s">
        <v>3</v>
      </c>
      <c r="D54" s="9" t="s">
        <v>3</v>
      </c>
      <c r="E54" s="9" t="s">
        <v>4</v>
      </c>
      <c r="F54" s="9" t="s">
        <v>4</v>
      </c>
      <c r="G54" s="9" t="s">
        <v>4</v>
      </c>
      <c r="H54" s="9" t="s">
        <v>4</v>
      </c>
      <c r="I54" s="9" t="s">
        <v>4</v>
      </c>
      <c r="J54" s="9" t="s">
        <v>4</v>
      </c>
      <c r="K54" s="9" t="s">
        <v>4</v>
      </c>
      <c r="L54" s="9" t="s">
        <v>4</v>
      </c>
      <c r="M54" s="9" t="s">
        <v>4</v>
      </c>
      <c r="N54" s="9" t="s">
        <v>4</v>
      </c>
      <c r="O54" s="9" t="s">
        <v>4</v>
      </c>
      <c r="P54" s="9" t="s">
        <v>4</v>
      </c>
      <c r="Q54" s="9" t="s">
        <v>4</v>
      </c>
      <c r="R54" s="9" t="s">
        <v>4</v>
      </c>
      <c r="S54" s="9" t="s">
        <v>4</v>
      </c>
      <c r="T54" s="9" t="s">
        <v>4</v>
      </c>
      <c r="U54" s="9" t="s">
        <v>4</v>
      </c>
      <c r="V54" s="9" t="s">
        <v>4</v>
      </c>
      <c r="W54" s="9" t="s">
        <v>4</v>
      </c>
      <c r="X54" s="9" t="s">
        <v>4</v>
      </c>
      <c r="Y54" s="9" t="s">
        <v>4</v>
      </c>
      <c r="Z54" s="25" t="s">
        <v>4</v>
      </c>
    </row>
    <row r="55" spans="1:26" x14ac:dyDescent="0.2">
      <c r="A55" s="47"/>
      <c r="B55" s="3" t="s">
        <v>59</v>
      </c>
      <c r="C55" s="9" t="s">
        <v>3</v>
      </c>
      <c r="D55" s="9" t="s">
        <v>3</v>
      </c>
      <c r="E55" s="9" t="s">
        <v>4</v>
      </c>
      <c r="F55" s="9" t="s">
        <v>4</v>
      </c>
      <c r="G55" s="9" t="s">
        <v>4</v>
      </c>
      <c r="H55" s="9" t="s">
        <v>4</v>
      </c>
      <c r="I55" s="9" t="s">
        <v>4</v>
      </c>
      <c r="J55" s="9" t="s">
        <v>4</v>
      </c>
      <c r="K55" s="9" t="s">
        <v>4</v>
      </c>
      <c r="L55" s="9" t="s">
        <v>4</v>
      </c>
      <c r="M55" s="9" t="s">
        <v>4</v>
      </c>
      <c r="N55" s="9" t="s">
        <v>4</v>
      </c>
      <c r="O55" s="9" t="s">
        <v>4</v>
      </c>
      <c r="P55" s="9" t="s">
        <v>4</v>
      </c>
      <c r="Q55" s="9" t="s">
        <v>4</v>
      </c>
      <c r="R55" s="9" t="s">
        <v>4</v>
      </c>
      <c r="S55" s="9" t="s">
        <v>4</v>
      </c>
      <c r="T55" s="9" t="s">
        <v>4</v>
      </c>
      <c r="U55" s="9" t="s">
        <v>4</v>
      </c>
      <c r="V55" s="9" t="s">
        <v>4</v>
      </c>
      <c r="W55" s="9" t="s">
        <v>4</v>
      </c>
      <c r="X55" s="9" t="s">
        <v>4</v>
      </c>
      <c r="Y55" s="9" t="s">
        <v>4</v>
      </c>
      <c r="Z55" s="25" t="s">
        <v>4</v>
      </c>
    </row>
    <row r="56" spans="1:26" x14ac:dyDescent="0.2">
      <c r="A56" s="47"/>
      <c r="B56" s="3" t="s">
        <v>60</v>
      </c>
      <c r="C56" s="9" t="s">
        <v>3</v>
      </c>
      <c r="D56" s="9" t="s">
        <v>3</v>
      </c>
      <c r="E56" s="9" t="s">
        <v>4</v>
      </c>
      <c r="F56" s="9" t="s">
        <v>4</v>
      </c>
      <c r="G56" s="9" t="s">
        <v>4</v>
      </c>
      <c r="H56" s="9" t="s">
        <v>4</v>
      </c>
      <c r="I56" s="9" t="s">
        <v>4</v>
      </c>
      <c r="J56" s="9" t="s">
        <v>4</v>
      </c>
      <c r="K56" s="9" t="s">
        <v>4</v>
      </c>
      <c r="L56" s="9" t="s">
        <v>4</v>
      </c>
      <c r="M56" s="9" t="s">
        <v>4</v>
      </c>
      <c r="N56" s="9" t="s">
        <v>4</v>
      </c>
      <c r="O56" s="9" t="s">
        <v>4</v>
      </c>
      <c r="P56" s="9" t="s">
        <v>4</v>
      </c>
      <c r="Q56" s="9" t="s">
        <v>4</v>
      </c>
      <c r="R56" s="9" t="s">
        <v>4</v>
      </c>
      <c r="S56" s="9" t="s">
        <v>4</v>
      </c>
      <c r="T56" s="9" t="s">
        <v>4</v>
      </c>
      <c r="U56" s="9" t="s">
        <v>4</v>
      </c>
      <c r="V56" s="9" t="s">
        <v>4</v>
      </c>
      <c r="W56" s="9" t="s">
        <v>4</v>
      </c>
      <c r="X56" s="9" t="s">
        <v>4</v>
      </c>
      <c r="Y56" s="9" t="s">
        <v>4</v>
      </c>
      <c r="Z56" s="25" t="s">
        <v>4</v>
      </c>
    </row>
    <row r="57" spans="1:26" x14ac:dyDescent="0.2">
      <c r="A57" s="47"/>
      <c r="B57" s="3" t="s">
        <v>61</v>
      </c>
      <c r="C57" s="9" t="s">
        <v>3</v>
      </c>
      <c r="D57" s="9" t="s">
        <v>3</v>
      </c>
      <c r="E57" s="9" t="s">
        <v>4</v>
      </c>
      <c r="F57" s="9" t="s">
        <v>4</v>
      </c>
      <c r="G57" s="9" t="s">
        <v>4</v>
      </c>
      <c r="H57" s="9" t="s">
        <v>4</v>
      </c>
      <c r="I57" s="9" t="s">
        <v>4</v>
      </c>
      <c r="J57" s="9" t="s">
        <v>4</v>
      </c>
      <c r="K57" s="9" t="s">
        <v>4</v>
      </c>
      <c r="L57" s="9" t="s">
        <v>4</v>
      </c>
      <c r="M57" s="9" t="s">
        <v>4</v>
      </c>
      <c r="N57" s="9" t="s">
        <v>4</v>
      </c>
      <c r="O57" s="9" t="s">
        <v>4</v>
      </c>
      <c r="P57" s="9" t="s">
        <v>4</v>
      </c>
      <c r="Q57" s="9" t="s">
        <v>4</v>
      </c>
      <c r="R57" s="9" t="s">
        <v>4</v>
      </c>
      <c r="S57" s="9" t="s">
        <v>4</v>
      </c>
      <c r="T57" s="9" t="s">
        <v>4</v>
      </c>
      <c r="U57" s="9" t="s">
        <v>4</v>
      </c>
      <c r="V57" s="9" t="s">
        <v>4</v>
      </c>
      <c r="W57" s="9" t="s">
        <v>4</v>
      </c>
      <c r="X57" s="9" t="s">
        <v>4</v>
      </c>
      <c r="Y57" s="9" t="s">
        <v>4</v>
      </c>
      <c r="Z57" s="25" t="s">
        <v>4</v>
      </c>
    </row>
    <row r="58" spans="1:26" x14ac:dyDescent="0.2">
      <c r="A58" s="47"/>
      <c r="B58" s="3" t="s">
        <v>62</v>
      </c>
      <c r="C58" s="9" t="s">
        <v>4</v>
      </c>
      <c r="D58" s="9" t="s">
        <v>4</v>
      </c>
      <c r="E58" s="9" t="s">
        <v>4</v>
      </c>
      <c r="F58" s="9" t="s">
        <v>4</v>
      </c>
      <c r="G58" s="9" t="s">
        <v>4</v>
      </c>
      <c r="H58" s="9" t="s">
        <v>4</v>
      </c>
      <c r="I58" s="9" t="s">
        <v>4</v>
      </c>
      <c r="J58" s="9" t="s">
        <v>4</v>
      </c>
      <c r="K58" s="9" t="s">
        <v>4</v>
      </c>
      <c r="L58" s="9" t="s">
        <v>4</v>
      </c>
      <c r="M58" s="9" t="s">
        <v>4</v>
      </c>
      <c r="N58" s="9" t="s">
        <v>4</v>
      </c>
      <c r="O58" s="9" t="s">
        <v>4</v>
      </c>
      <c r="P58" s="9" t="s">
        <v>4</v>
      </c>
      <c r="Q58" s="9" t="s">
        <v>4</v>
      </c>
      <c r="R58" s="9" t="s">
        <v>4</v>
      </c>
      <c r="S58" s="9" t="s">
        <v>4</v>
      </c>
      <c r="T58" s="9" t="s">
        <v>4</v>
      </c>
      <c r="U58" s="9" t="s">
        <v>4</v>
      </c>
      <c r="V58" s="9" t="s">
        <v>4</v>
      </c>
      <c r="W58" s="9" t="s">
        <v>4</v>
      </c>
      <c r="X58" s="9" t="s">
        <v>4</v>
      </c>
      <c r="Y58" s="9" t="s">
        <v>4</v>
      </c>
      <c r="Z58" s="25" t="s">
        <v>4</v>
      </c>
    </row>
    <row r="59" spans="1:26" x14ac:dyDescent="0.2">
      <c r="A59" s="47"/>
      <c r="B59" s="3" t="s">
        <v>63</v>
      </c>
      <c r="C59" s="9" t="s">
        <v>3</v>
      </c>
      <c r="D59" s="9" t="s">
        <v>3</v>
      </c>
      <c r="E59" s="9" t="s">
        <v>4</v>
      </c>
      <c r="F59" s="9" t="s">
        <v>4</v>
      </c>
      <c r="G59" s="9" t="s">
        <v>4</v>
      </c>
      <c r="H59" s="9" t="s">
        <v>4</v>
      </c>
      <c r="I59" s="9" t="s">
        <v>4</v>
      </c>
      <c r="J59" s="9" t="s">
        <v>4</v>
      </c>
      <c r="K59" s="9" t="s">
        <v>4</v>
      </c>
      <c r="L59" s="9" t="s">
        <v>4</v>
      </c>
      <c r="M59" s="9" t="s">
        <v>4</v>
      </c>
      <c r="N59" s="9" t="s">
        <v>4</v>
      </c>
      <c r="O59" s="9" t="s">
        <v>4</v>
      </c>
      <c r="P59" s="9" t="s">
        <v>4</v>
      </c>
      <c r="Q59" s="9" t="s">
        <v>4</v>
      </c>
      <c r="R59" s="9" t="s">
        <v>4</v>
      </c>
      <c r="S59" s="9" t="s">
        <v>4</v>
      </c>
      <c r="T59" s="9" t="s">
        <v>4</v>
      </c>
      <c r="U59" s="9" t="s">
        <v>4</v>
      </c>
      <c r="V59" s="9" t="s">
        <v>4</v>
      </c>
      <c r="W59" s="9" t="s">
        <v>4</v>
      </c>
      <c r="X59" s="9" t="s">
        <v>4</v>
      </c>
      <c r="Y59" s="9" t="s">
        <v>4</v>
      </c>
      <c r="Z59" s="25" t="s">
        <v>4</v>
      </c>
    </row>
    <row r="60" spans="1:26" x14ac:dyDescent="0.2">
      <c r="A60" s="47"/>
      <c r="B60" s="3" t="s">
        <v>64</v>
      </c>
      <c r="C60" s="9" t="s">
        <v>273</v>
      </c>
      <c r="D60" s="9" t="s">
        <v>273</v>
      </c>
      <c r="E60" s="9" t="s">
        <v>4</v>
      </c>
      <c r="F60" s="9" t="s">
        <v>4</v>
      </c>
      <c r="G60" s="9" t="s">
        <v>4</v>
      </c>
      <c r="H60" s="9" t="s">
        <v>4</v>
      </c>
      <c r="I60" s="9" t="s">
        <v>4</v>
      </c>
      <c r="J60" s="9" t="s">
        <v>4</v>
      </c>
      <c r="K60" s="9" t="s">
        <v>4</v>
      </c>
      <c r="L60" s="9" t="s">
        <v>4</v>
      </c>
      <c r="M60" s="9" t="s">
        <v>4</v>
      </c>
      <c r="N60" s="9" t="s">
        <v>4</v>
      </c>
      <c r="O60" s="9" t="s">
        <v>4</v>
      </c>
      <c r="P60" s="9" t="s">
        <v>4</v>
      </c>
      <c r="Q60" s="9" t="s">
        <v>4</v>
      </c>
      <c r="R60" s="9" t="s">
        <v>4</v>
      </c>
      <c r="S60" s="9" t="s">
        <v>4</v>
      </c>
      <c r="T60" s="9" t="s">
        <v>4</v>
      </c>
      <c r="U60" s="9" t="s">
        <v>4</v>
      </c>
      <c r="V60" s="9" t="s">
        <v>4</v>
      </c>
      <c r="W60" s="9" t="s">
        <v>4</v>
      </c>
      <c r="X60" s="9" t="s">
        <v>4</v>
      </c>
      <c r="Y60" s="9" t="s">
        <v>4</v>
      </c>
      <c r="Z60" s="25" t="s">
        <v>4</v>
      </c>
    </row>
    <row r="61" spans="1:26" x14ac:dyDescent="0.2">
      <c r="A61" s="47"/>
      <c r="B61" s="3" t="s">
        <v>65</v>
      </c>
      <c r="C61" s="9" t="s">
        <v>3</v>
      </c>
      <c r="D61" s="9" t="s">
        <v>3</v>
      </c>
      <c r="E61" s="9" t="s">
        <v>4</v>
      </c>
      <c r="F61" s="9" t="s">
        <v>4</v>
      </c>
      <c r="G61" s="9" t="s">
        <v>4</v>
      </c>
      <c r="H61" s="9" t="s">
        <v>4</v>
      </c>
      <c r="I61" s="9" t="s">
        <v>4</v>
      </c>
      <c r="J61" s="9" t="s">
        <v>4</v>
      </c>
      <c r="K61" s="9" t="s">
        <v>4</v>
      </c>
      <c r="L61" s="9" t="s">
        <v>4</v>
      </c>
      <c r="M61" s="9" t="s">
        <v>4</v>
      </c>
      <c r="N61" s="9" t="s">
        <v>4</v>
      </c>
      <c r="O61" s="9" t="s">
        <v>4</v>
      </c>
      <c r="P61" s="9" t="s">
        <v>4</v>
      </c>
      <c r="Q61" s="9" t="s">
        <v>4</v>
      </c>
      <c r="R61" s="9" t="s">
        <v>4</v>
      </c>
      <c r="S61" s="9" t="s">
        <v>4</v>
      </c>
      <c r="T61" s="9" t="s">
        <v>4</v>
      </c>
      <c r="U61" s="9" t="s">
        <v>4</v>
      </c>
      <c r="V61" s="9" t="s">
        <v>4</v>
      </c>
      <c r="W61" s="9" t="s">
        <v>4</v>
      </c>
      <c r="X61" s="9" t="s">
        <v>4</v>
      </c>
      <c r="Y61" s="9" t="s">
        <v>4</v>
      </c>
      <c r="Z61" s="25" t="s">
        <v>4</v>
      </c>
    </row>
    <row r="62" spans="1:26" x14ac:dyDescent="0.2">
      <c r="A62" s="47"/>
      <c r="B62" s="3" t="s">
        <v>66</v>
      </c>
      <c r="C62" s="9" t="s">
        <v>3</v>
      </c>
      <c r="D62" s="9" t="s">
        <v>3</v>
      </c>
      <c r="E62" s="9" t="s">
        <v>4</v>
      </c>
      <c r="F62" s="9" t="s">
        <v>4</v>
      </c>
      <c r="G62" s="9" t="s">
        <v>4</v>
      </c>
      <c r="H62" s="9" t="s">
        <v>4</v>
      </c>
      <c r="I62" s="9" t="s">
        <v>4</v>
      </c>
      <c r="J62" s="9" t="s">
        <v>4</v>
      </c>
      <c r="K62" s="9" t="s">
        <v>4</v>
      </c>
      <c r="L62" s="9" t="s">
        <v>4</v>
      </c>
      <c r="M62" s="9" t="s">
        <v>4</v>
      </c>
      <c r="N62" s="9" t="s">
        <v>4</v>
      </c>
      <c r="O62" s="9" t="s">
        <v>4</v>
      </c>
      <c r="P62" s="9" t="s">
        <v>4</v>
      </c>
      <c r="Q62" s="9" t="s">
        <v>4</v>
      </c>
      <c r="R62" s="9" t="s">
        <v>4</v>
      </c>
      <c r="S62" s="9" t="s">
        <v>4</v>
      </c>
      <c r="T62" s="9" t="s">
        <v>4</v>
      </c>
      <c r="U62" s="9" t="s">
        <v>4</v>
      </c>
      <c r="V62" s="9" t="s">
        <v>4</v>
      </c>
      <c r="W62" s="9" t="s">
        <v>4</v>
      </c>
      <c r="X62" s="9" t="s">
        <v>4</v>
      </c>
      <c r="Y62" s="9" t="s">
        <v>4</v>
      </c>
      <c r="Z62" s="25" t="s">
        <v>4</v>
      </c>
    </row>
    <row r="63" spans="1:26" x14ac:dyDescent="0.2">
      <c r="A63" s="47"/>
      <c r="B63" s="3" t="s">
        <v>67</v>
      </c>
      <c r="C63" s="9" t="s">
        <v>3</v>
      </c>
      <c r="D63" s="9" t="s">
        <v>3</v>
      </c>
      <c r="E63" s="9" t="s">
        <v>4</v>
      </c>
      <c r="F63" s="9" t="s">
        <v>4</v>
      </c>
      <c r="G63" s="9" t="s">
        <v>4</v>
      </c>
      <c r="H63" s="9" t="s">
        <v>4</v>
      </c>
      <c r="I63" s="9" t="s">
        <v>4</v>
      </c>
      <c r="J63" s="9" t="s">
        <v>4</v>
      </c>
      <c r="K63" s="9" t="s">
        <v>4</v>
      </c>
      <c r="L63" s="9" t="s">
        <v>4</v>
      </c>
      <c r="M63" s="9" t="s">
        <v>4</v>
      </c>
      <c r="N63" s="9" t="s">
        <v>4</v>
      </c>
      <c r="O63" s="9" t="s">
        <v>4</v>
      </c>
      <c r="P63" s="9" t="s">
        <v>4</v>
      </c>
      <c r="Q63" s="9" t="s">
        <v>4</v>
      </c>
      <c r="R63" s="9" t="s">
        <v>4</v>
      </c>
      <c r="S63" s="9" t="s">
        <v>4</v>
      </c>
      <c r="T63" s="9" t="s">
        <v>4</v>
      </c>
      <c r="U63" s="9" t="s">
        <v>4</v>
      </c>
      <c r="V63" s="9" t="s">
        <v>4</v>
      </c>
      <c r="W63" s="9" t="s">
        <v>4</v>
      </c>
      <c r="X63" s="9" t="s">
        <v>4</v>
      </c>
      <c r="Y63" s="9" t="s">
        <v>4</v>
      </c>
      <c r="Z63" s="25" t="s">
        <v>4</v>
      </c>
    </row>
    <row r="64" spans="1:26" ht="15.75" customHeight="1" thickBot="1" x14ac:dyDescent="0.25">
      <c r="A64" s="48"/>
      <c r="B64" s="33" t="s">
        <v>68</v>
      </c>
      <c r="C64" s="27" t="s">
        <v>4</v>
      </c>
      <c r="D64" s="27" t="s">
        <v>4</v>
      </c>
      <c r="E64" s="27" t="s">
        <v>4</v>
      </c>
      <c r="F64" s="27" t="s">
        <v>4</v>
      </c>
      <c r="G64" s="27" t="s">
        <v>4</v>
      </c>
      <c r="H64" s="27" t="s">
        <v>4</v>
      </c>
      <c r="I64" s="27" t="s">
        <v>4</v>
      </c>
      <c r="J64" s="27" t="s">
        <v>4</v>
      </c>
      <c r="K64" s="27" t="s">
        <v>4</v>
      </c>
      <c r="L64" s="27" t="s">
        <v>4</v>
      </c>
      <c r="M64" s="27" t="s">
        <v>4</v>
      </c>
      <c r="N64" s="27" t="s">
        <v>4</v>
      </c>
      <c r="O64" s="27" t="s">
        <v>4</v>
      </c>
      <c r="P64" s="27" t="s">
        <v>4</v>
      </c>
      <c r="Q64" s="27" t="s">
        <v>4</v>
      </c>
      <c r="R64" s="27" t="s">
        <v>4</v>
      </c>
      <c r="S64" s="27" t="s">
        <v>4</v>
      </c>
      <c r="T64" s="27" t="s">
        <v>4</v>
      </c>
      <c r="U64" s="27" t="s">
        <v>4</v>
      </c>
      <c r="V64" s="27" t="s">
        <v>4</v>
      </c>
      <c r="W64" s="27" t="s">
        <v>4</v>
      </c>
      <c r="X64" s="27" t="s">
        <v>4</v>
      </c>
      <c r="Y64" s="27" t="s">
        <v>4</v>
      </c>
      <c r="Z64" s="28" t="s">
        <v>4</v>
      </c>
    </row>
    <row r="65" spans="1:26" x14ac:dyDescent="0.2">
      <c r="A65" s="46" t="s">
        <v>69</v>
      </c>
      <c r="B65" s="32" t="s">
        <v>70</v>
      </c>
      <c r="C65" s="23" t="s">
        <v>3</v>
      </c>
      <c r="D65" s="23" t="s">
        <v>3</v>
      </c>
      <c r="E65" s="23" t="s">
        <v>4</v>
      </c>
      <c r="F65" s="23" t="s">
        <v>4</v>
      </c>
      <c r="G65" s="23" t="s">
        <v>4</v>
      </c>
      <c r="H65" s="23" t="s">
        <v>4</v>
      </c>
      <c r="I65" s="23" t="s">
        <v>4</v>
      </c>
      <c r="J65" s="23" t="s">
        <v>4</v>
      </c>
      <c r="K65" s="23" t="s">
        <v>4</v>
      </c>
      <c r="L65" s="23" t="s">
        <v>4</v>
      </c>
      <c r="M65" s="23" t="s">
        <v>4</v>
      </c>
      <c r="N65" s="23" t="s">
        <v>4</v>
      </c>
      <c r="O65" s="23" t="s">
        <v>4</v>
      </c>
      <c r="P65" s="23" t="s">
        <v>4</v>
      </c>
      <c r="Q65" s="23" t="s">
        <v>4</v>
      </c>
      <c r="R65" s="23" t="s">
        <v>4</v>
      </c>
      <c r="S65" s="23" t="s">
        <v>4</v>
      </c>
      <c r="T65" s="23" t="s">
        <v>4</v>
      </c>
      <c r="U65" s="23" t="s">
        <v>4</v>
      </c>
      <c r="V65" s="23" t="s">
        <v>4</v>
      </c>
      <c r="W65" s="23" t="s">
        <v>4</v>
      </c>
      <c r="X65" s="23" t="s">
        <v>4</v>
      </c>
      <c r="Y65" s="23" t="s">
        <v>4</v>
      </c>
      <c r="Z65" s="24" t="s">
        <v>4</v>
      </c>
    </row>
    <row r="66" spans="1:26" x14ac:dyDescent="0.2">
      <c r="A66" s="47"/>
      <c r="B66" s="3" t="s">
        <v>71</v>
      </c>
      <c r="C66" s="9" t="s">
        <v>3</v>
      </c>
      <c r="D66" s="9" t="s">
        <v>3</v>
      </c>
      <c r="E66" s="9" t="s">
        <v>4</v>
      </c>
      <c r="F66" s="9" t="s">
        <v>4</v>
      </c>
      <c r="G66" s="9" t="s">
        <v>4</v>
      </c>
      <c r="H66" s="9" t="s">
        <v>4</v>
      </c>
      <c r="I66" s="9" t="s">
        <v>4</v>
      </c>
      <c r="J66" s="9" t="s">
        <v>4</v>
      </c>
      <c r="K66" s="9" t="s">
        <v>4</v>
      </c>
      <c r="L66" s="9" t="s">
        <v>4</v>
      </c>
      <c r="M66" s="9" t="s">
        <v>4</v>
      </c>
      <c r="N66" s="9" t="s">
        <v>4</v>
      </c>
      <c r="O66" s="9" t="s">
        <v>4</v>
      </c>
      <c r="P66" s="9" t="s">
        <v>4</v>
      </c>
      <c r="Q66" s="9" t="s">
        <v>4</v>
      </c>
      <c r="R66" s="9" t="s">
        <v>4</v>
      </c>
      <c r="S66" s="9" t="s">
        <v>4</v>
      </c>
      <c r="T66" s="9" t="s">
        <v>4</v>
      </c>
      <c r="U66" s="9" t="s">
        <v>4</v>
      </c>
      <c r="V66" s="9" t="s">
        <v>4</v>
      </c>
      <c r="W66" s="9" t="s">
        <v>4</v>
      </c>
      <c r="X66" s="9" t="s">
        <v>4</v>
      </c>
      <c r="Y66" s="9" t="s">
        <v>4</v>
      </c>
      <c r="Z66" s="25" t="s">
        <v>4</v>
      </c>
    </row>
    <row r="67" spans="1:26" x14ac:dyDescent="0.2">
      <c r="A67" s="47"/>
      <c r="B67" s="3" t="s">
        <v>64</v>
      </c>
      <c r="C67" s="9" t="s">
        <v>3</v>
      </c>
      <c r="D67" s="9" t="s">
        <v>3</v>
      </c>
      <c r="E67" s="9" t="s">
        <v>4</v>
      </c>
      <c r="F67" s="9" t="s">
        <v>4</v>
      </c>
      <c r="G67" s="9" t="s">
        <v>4</v>
      </c>
      <c r="H67" s="9" t="s">
        <v>4</v>
      </c>
      <c r="I67" s="9" t="s">
        <v>4</v>
      </c>
      <c r="J67" s="9" t="s">
        <v>4</v>
      </c>
      <c r="K67" s="9" t="s">
        <v>4</v>
      </c>
      <c r="L67" s="9" t="s">
        <v>4</v>
      </c>
      <c r="M67" s="9" t="s">
        <v>4</v>
      </c>
      <c r="N67" s="9" t="s">
        <v>4</v>
      </c>
      <c r="O67" s="9" t="s">
        <v>4</v>
      </c>
      <c r="P67" s="9" t="s">
        <v>4</v>
      </c>
      <c r="Q67" s="9" t="s">
        <v>4</v>
      </c>
      <c r="R67" s="9" t="s">
        <v>4</v>
      </c>
      <c r="S67" s="9" t="s">
        <v>4</v>
      </c>
      <c r="T67" s="9" t="s">
        <v>4</v>
      </c>
      <c r="U67" s="9" t="s">
        <v>4</v>
      </c>
      <c r="V67" s="9" t="s">
        <v>4</v>
      </c>
      <c r="W67" s="9" t="s">
        <v>4</v>
      </c>
      <c r="X67" s="9" t="s">
        <v>4</v>
      </c>
      <c r="Y67" s="9" t="s">
        <v>4</v>
      </c>
      <c r="Z67" s="25" t="s">
        <v>4</v>
      </c>
    </row>
    <row r="68" spans="1:26" x14ac:dyDescent="0.2">
      <c r="A68" s="47"/>
      <c r="B68" s="3" t="s">
        <v>72</v>
      </c>
      <c r="C68" s="9" t="s">
        <v>3</v>
      </c>
      <c r="D68" s="9" t="s">
        <v>3</v>
      </c>
      <c r="E68" s="9" t="s">
        <v>4</v>
      </c>
      <c r="F68" s="9" t="s">
        <v>4</v>
      </c>
      <c r="G68" s="9" t="s">
        <v>4</v>
      </c>
      <c r="H68" s="9" t="s">
        <v>4</v>
      </c>
      <c r="I68" s="9" t="s">
        <v>4</v>
      </c>
      <c r="J68" s="9" t="s">
        <v>4</v>
      </c>
      <c r="K68" s="9" t="s">
        <v>4</v>
      </c>
      <c r="L68" s="9" t="s">
        <v>4</v>
      </c>
      <c r="M68" s="9" t="s">
        <v>4</v>
      </c>
      <c r="N68" s="9" t="s">
        <v>4</v>
      </c>
      <c r="O68" s="9" t="s">
        <v>4</v>
      </c>
      <c r="P68" s="9" t="s">
        <v>4</v>
      </c>
      <c r="Q68" s="9" t="s">
        <v>4</v>
      </c>
      <c r="R68" s="9" t="s">
        <v>4</v>
      </c>
      <c r="S68" s="9" t="s">
        <v>4</v>
      </c>
      <c r="T68" s="9" t="s">
        <v>4</v>
      </c>
      <c r="U68" s="9" t="s">
        <v>4</v>
      </c>
      <c r="V68" s="9" t="s">
        <v>4</v>
      </c>
      <c r="W68" s="9" t="s">
        <v>4</v>
      </c>
      <c r="X68" s="9" t="s">
        <v>4</v>
      </c>
      <c r="Y68" s="9" t="s">
        <v>4</v>
      </c>
      <c r="Z68" s="25" t="s">
        <v>4</v>
      </c>
    </row>
    <row r="69" spans="1:26" x14ac:dyDescent="0.2">
      <c r="A69" s="47"/>
      <c r="B69" s="3" t="s">
        <v>73</v>
      </c>
      <c r="C69" s="9" t="s">
        <v>3</v>
      </c>
      <c r="D69" s="9" t="s">
        <v>3</v>
      </c>
      <c r="E69" s="9" t="s">
        <v>4</v>
      </c>
      <c r="F69" s="9" t="s">
        <v>4</v>
      </c>
      <c r="G69" s="9" t="s">
        <v>4</v>
      </c>
      <c r="H69" s="9" t="s">
        <v>4</v>
      </c>
      <c r="I69" s="9" t="s">
        <v>4</v>
      </c>
      <c r="J69" s="9" t="s">
        <v>4</v>
      </c>
      <c r="K69" s="9" t="s">
        <v>4</v>
      </c>
      <c r="L69" s="9" t="s">
        <v>4</v>
      </c>
      <c r="M69" s="9" t="s">
        <v>4</v>
      </c>
      <c r="N69" s="9" t="s">
        <v>4</v>
      </c>
      <c r="O69" s="9" t="s">
        <v>4</v>
      </c>
      <c r="P69" s="9" t="s">
        <v>4</v>
      </c>
      <c r="Q69" s="9" t="s">
        <v>4</v>
      </c>
      <c r="R69" s="9" t="s">
        <v>4</v>
      </c>
      <c r="S69" s="9" t="s">
        <v>4</v>
      </c>
      <c r="T69" s="9" t="s">
        <v>4</v>
      </c>
      <c r="U69" s="9" t="s">
        <v>4</v>
      </c>
      <c r="V69" s="9" t="s">
        <v>4</v>
      </c>
      <c r="W69" s="9" t="s">
        <v>4</v>
      </c>
      <c r="X69" s="9" t="s">
        <v>4</v>
      </c>
      <c r="Y69" s="9" t="s">
        <v>4</v>
      </c>
      <c r="Z69" s="25" t="s">
        <v>4</v>
      </c>
    </row>
    <row r="70" spans="1:26" x14ac:dyDescent="0.2">
      <c r="A70" s="47"/>
      <c r="B70" s="3" t="s">
        <v>62</v>
      </c>
      <c r="C70" s="9" t="s">
        <v>3</v>
      </c>
      <c r="D70" s="9" t="s">
        <v>3</v>
      </c>
      <c r="E70" s="9" t="s">
        <v>4</v>
      </c>
      <c r="F70" s="9" t="s">
        <v>4</v>
      </c>
      <c r="G70" s="9" t="s">
        <v>4</v>
      </c>
      <c r="H70" s="9" t="s">
        <v>4</v>
      </c>
      <c r="I70" s="9" t="s">
        <v>4</v>
      </c>
      <c r="J70" s="9" t="s">
        <v>4</v>
      </c>
      <c r="K70" s="9" t="s">
        <v>4</v>
      </c>
      <c r="L70" s="9" t="s">
        <v>4</v>
      </c>
      <c r="M70" s="9" t="s">
        <v>4</v>
      </c>
      <c r="N70" s="9" t="s">
        <v>4</v>
      </c>
      <c r="O70" s="9" t="s">
        <v>4</v>
      </c>
      <c r="P70" s="9" t="s">
        <v>4</v>
      </c>
      <c r="Q70" s="9" t="s">
        <v>4</v>
      </c>
      <c r="R70" s="9" t="s">
        <v>4</v>
      </c>
      <c r="S70" s="9" t="s">
        <v>4</v>
      </c>
      <c r="T70" s="9" t="s">
        <v>4</v>
      </c>
      <c r="U70" s="9" t="s">
        <v>4</v>
      </c>
      <c r="V70" s="9" t="s">
        <v>4</v>
      </c>
      <c r="W70" s="9" t="s">
        <v>4</v>
      </c>
      <c r="X70" s="9" t="s">
        <v>4</v>
      </c>
      <c r="Y70" s="9" t="s">
        <v>4</v>
      </c>
      <c r="Z70" s="25" t="s">
        <v>4</v>
      </c>
    </row>
    <row r="71" spans="1:26" x14ac:dyDescent="0.2">
      <c r="A71" s="47"/>
      <c r="B71" s="3" t="s">
        <v>65</v>
      </c>
      <c r="C71" s="9" t="s">
        <v>3</v>
      </c>
      <c r="D71" s="9" t="s">
        <v>3</v>
      </c>
      <c r="E71" s="9" t="s">
        <v>4</v>
      </c>
      <c r="F71" s="9" t="s">
        <v>4</v>
      </c>
      <c r="G71" s="9" t="s">
        <v>4</v>
      </c>
      <c r="H71" s="9" t="s">
        <v>4</v>
      </c>
      <c r="I71" s="9" t="s">
        <v>4</v>
      </c>
      <c r="J71" s="9" t="s">
        <v>4</v>
      </c>
      <c r="K71" s="9" t="s">
        <v>4</v>
      </c>
      <c r="L71" s="9" t="s">
        <v>4</v>
      </c>
      <c r="M71" s="9" t="s">
        <v>4</v>
      </c>
      <c r="N71" s="9" t="s">
        <v>4</v>
      </c>
      <c r="O71" s="9" t="s">
        <v>4</v>
      </c>
      <c r="P71" s="9" t="s">
        <v>4</v>
      </c>
      <c r="Q71" s="9" t="s">
        <v>4</v>
      </c>
      <c r="R71" s="9" t="s">
        <v>4</v>
      </c>
      <c r="S71" s="9" t="s">
        <v>4</v>
      </c>
      <c r="T71" s="9" t="s">
        <v>4</v>
      </c>
      <c r="U71" s="9" t="s">
        <v>4</v>
      </c>
      <c r="V71" s="9" t="s">
        <v>4</v>
      </c>
      <c r="W71" s="9" t="s">
        <v>4</v>
      </c>
      <c r="X71" s="9" t="s">
        <v>4</v>
      </c>
      <c r="Y71" s="9" t="s">
        <v>4</v>
      </c>
      <c r="Z71" s="25" t="s">
        <v>4</v>
      </c>
    </row>
    <row r="72" spans="1:26" x14ac:dyDescent="0.2">
      <c r="A72" s="47"/>
      <c r="B72" s="3" t="s">
        <v>66</v>
      </c>
      <c r="C72" s="9" t="s">
        <v>273</v>
      </c>
      <c r="D72" s="9" t="s">
        <v>273</v>
      </c>
      <c r="E72" s="9" t="s">
        <v>4</v>
      </c>
      <c r="F72" s="9" t="s">
        <v>4</v>
      </c>
      <c r="G72" s="9" t="s">
        <v>4</v>
      </c>
      <c r="H72" s="9" t="s">
        <v>4</v>
      </c>
      <c r="I72" s="9" t="s">
        <v>4</v>
      </c>
      <c r="J72" s="9" t="s">
        <v>4</v>
      </c>
      <c r="K72" s="9" t="s">
        <v>4</v>
      </c>
      <c r="L72" s="9" t="s">
        <v>4</v>
      </c>
      <c r="M72" s="9" t="s">
        <v>4</v>
      </c>
      <c r="N72" s="9" t="s">
        <v>4</v>
      </c>
      <c r="O72" s="9" t="s">
        <v>4</v>
      </c>
      <c r="P72" s="9" t="s">
        <v>4</v>
      </c>
      <c r="Q72" s="9" t="s">
        <v>4</v>
      </c>
      <c r="R72" s="9" t="s">
        <v>4</v>
      </c>
      <c r="S72" s="9" t="s">
        <v>4</v>
      </c>
      <c r="T72" s="9" t="s">
        <v>4</v>
      </c>
      <c r="U72" s="9" t="s">
        <v>4</v>
      </c>
      <c r="V72" s="9" t="s">
        <v>4</v>
      </c>
      <c r="W72" s="9" t="s">
        <v>4</v>
      </c>
      <c r="X72" s="9" t="s">
        <v>4</v>
      </c>
      <c r="Y72" s="9" t="s">
        <v>4</v>
      </c>
      <c r="Z72" s="25" t="s">
        <v>4</v>
      </c>
    </row>
    <row r="73" spans="1:26" x14ac:dyDescent="0.2">
      <c r="A73" s="47"/>
      <c r="B73" s="3" t="s">
        <v>74</v>
      </c>
      <c r="C73" s="9" t="s">
        <v>273</v>
      </c>
      <c r="D73" s="9" t="s">
        <v>3</v>
      </c>
      <c r="E73" s="9" t="s">
        <v>4</v>
      </c>
      <c r="F73" s="9" t="s">
        <v>4</v>
      </c>
      <c r="G73" s="9" t="s">
        <v>4</v>
      </c>
      <c r="H73" s="9" t="s">
        <v>4</v>
      </c>
      <c r="I73" s="9" t="s">
        <v>4</v>
      </c>
      <c r="J73" s="9" t="s">
        <v>4</v>
      </c>
      <c r="K73" s="9" t="s">
        <v>4</v>
      </c>
      <c r="L73" s="9" t="s">
        <v>4</v>
      </c>
      <c r="M73" s="9" t="s">
        <v>4</v>
      </c>
      <c r="N73" s="9" t="s">
        <v>4</v>
      </c>
      <c r="O73" s="9" t="s">
        <v>4</v>
      </c>
      <c r="P73" s="9" t="s">
        <v>4</v>
      </c>
      <c r="Q73" s="9" t="s">
        <v>4</v>
      </c>
      <c r="R73" s="9" t="s">
        <v>4</v>
      </c>
      <c r="S73" s="9" t="s">
        <v>4</v>
      </c>
      <c r="T73" s="9" t="s">
        <v>4</v>
      </c>
      <c r="U73" s="9" t="s">
        <v>4</v>
      </c>
      <c r="V73" s="9" t="s">
        <v>4</v>
      </c>
      <c r="W73" s="9" t="s">
        <v>4</v>
      </c>
      <c r="X73" s="9" t="s">
        <v>4</v>
      </c>
      <c r="Y73" s="9" t="s">
        <v>4</v>
      </c>
      <c r="Z73" s="25" t="s">
        <v>4</v>
      </c>
    </row>
    <row r="74" spans="1:26" x14ac:dyDescent="0.2">
      <c r="A74" s="47"/>
      <c r="B74" s="3" t="s">
        <v>75</v>
      </c>
      <c r="C74" s="9" t="s">
        <v>273</v>
      </c>
      <c r="D74" s="9" t="s">
        <v>3</v>
      </c>
      <c r="E74" s="9" t="s">
        <v>4</v>
      </c>
      <c r="F74" s="9" t="s">
        <v>4</v>
      </c>
      <c r="G74" s="9" t="s">
        <v>4</v>
      </c>
      <c r="H74" s="9" t="s">
        <v>4</v>
      </c>
      <c r="I74" s="9" t="s">
        <v>4</v>
      </c>
      <c r="J74" s="9" t="s">
        <v>4</v>
      </c>
      <c r="K74" s="9" t="s">
        <v>4</v>
      </c>
      <c r="L74" s="9" t="s">
        <v>4</v>
      </c>
      <c r="M74" s="9" t="s">
        <v>4</v>
      </c>
      <c r="N74" s="9" t="s">
        <v>4</v>
      </c>
      <c r="O74" s="9" t="s">
        <v>4</v>
      </c>
      <c r="P74" s="9" t="s">
        <v>4</v>
      </c>
      <c r="Q74" s="9" t="s">
        <v>4</v>
      </c>
      <c r="R74" s="9" t="s">
        <v>4</v>
      </c>
      <c r="S74" s="9" t="s">
        <v>4</v>
      </c>
      <c r="T74" s="9" t="s">
        <v>4</v>
      </c>
      <c r="U74" s="9" t="s">
        <v>4</v>
      </c>
      <c r="V74" s="9" t="s">
        <v>4</v>
      </c>
      <c r="W74" s="9" t="s">
        <v>4</v>
      </c>
      <c r="X74" s="9" t="s">
        <v>4</v>
      </c>
      <c r="Y74" s="9" t="s">
        <v>4</v>
      </c>
      <c r="Z74" s="25" t="s">
        <v>4</v>
      </c>
    </row>
    <row r="75" spans="1:26" x14ac:dyDescent="0.2">
      <c r="A75" s="47"/>
      <c r="B75" s="3" t="s">
        <v>68</v>
      </c>
      <c r="C75" s="9" t="s">
        <v>273</v>
      </c>
      <c r="D75" s="9" t="s">
        <v>273</v>
      </c>
      <c r="E75" s="9" t="s">
        <v>4</v>
      </c>
      <c r="F75" s="9" t="s">
        <v>4</v>
      </c>
      <c r="G75" s="9" t="s">
        <v>4</v>
      </c>
      <c r="H75" s="9" t="s">
        <v>4</v>
      </c>
      <c r="I75" s="9" t="s">
        <v>4</v>
      </c>
      <c r="J75" s="9" t="s">
        <v>4</v>
      </c>
      <c r="K75" s="9" t="s">
        <v>4</v>
      </c>
      <c r="L75" s="9" t="s">
        <v>4</v>
      </c>
      <c r="M75" s="9" t="s">
        <v>4</v>
      </c>
      <c r="N75" s="9" t="s">
        <v>4</v>
      </c>
      <c r="O75" s="9" t="s">
        <v>4</v>
      </c>
      <c r="P75" s="9" t="s">
        <v>4</v>
      </c>
      <c r="Q75" s="9" t="s">
        <v>4</v>
      </c>
      <c r="R75" s="9" t="s">
        <v>4</v>
      </c>
      <c r="S75" s="9" t="s">
        <v>4</v>
      </c>
      <c r="T75" s="9" t="s">
        <v>4</v>
      </c>
      <c r="U75" s="9" t="s">
        <v>4</v>
      </c>
      <c r="V75" s="9" t="s">
        <v>4</v>
      </c>
      <c r="W75" s="9" t="s">
        <v>4</v>
      </c>
      <c r="X75" s="9" t="s">
        <v>4</v>
      </c>
      <c r="Y75" s="9" t="s">
        <v>4</v>
      </c>
      <c r="Z75" s="25" t="s">
        <v>4</v>
      </c>
    </row>
    <row r="76" spans="1:26" x14ac:dyDescent="0.2">
      <c r="A76" s="47"/>
      <c r="B76" s="3" t="s">
        <v>76</v>
      </c>
      <c r="C76" s="9" t="s">
        <v>4</v>
      </c>
      <c r="D76" s="9" t="s">
        <v>4</v>
      </c>
      <c r="E76" s="9" t="s">
        <v>4</v>
      </c>
      <c r="F76" s="9" t="s">
        <v>4</v>
      </c>
      <c r="G76" s="9" t="s">
        <v>4</v>
      </c>
      <c r="H76" s="9" t="s">
        <v>4</v>
      </c>
      <c r="I76" s="9" t="s">
        <v>4</v>
      </c>
      <c r="J76" s="9" t="s">
        <v>4</v>
      </c>
      <c r="K76" s="9" t="s">
        <v>4</v>
      </c>
      <c r="L76" s="9" t="s">
        <v>4</v>
      </c>
      <c r="M76" s="9" t="s">
        <v>4</v>
      </c>
      <c r="N76" s="9" t="s">
        <v>4</v>
      </c>
      <c r="O76" s="9" t="s">
        <v>4</v>
      </c>
      <c r="P76" s="9" t="s">
        <v>4</v>
      </c>
      <c r="Q76" s="9" t="s">
        <v>4</v>
      </c>
      <c r="R76" s="9" t="s">
        <v>4</v>
      </c>
      <c r="S76" s="9" t="s">
        <v>4</v>
      </c>
      <c r="T76" s="9" t="s">
        <v>4</v>
      </c>
      <c r="U76" s="9" t="s">
        <v>4</v>
      </c>
      <c r="V76" s="9" t="s">
        <v>4</v>
      </c>
      <c r="W76" s="9" t="s">
        <v>4</v>
      </c>
      <c r="X76" s="9" t="s">
        <v>4</v>
      </c>
      <c r="Y76" s="9" t="s">
        <v>4</v>
      </c>
      <c r="Z76" s="25" t="s">
        <v>4</v>
      </c>
    </row>
    <row r="77" spans="1:26" x14ac:dyDescent="0.2">
      <c r="A77" s="47"/>
      <c r="B77" s="3" t="s">
        <v>77</v>
      </c>
      <c r="C77" s="9" t="s">
        <v>4</v>
      </c>
      <c r="D77" s="9" t="s">
        <v>4</v>
      </c>
      <c r="E77" s="9" t="s">
        <v>4</v>
      </c>
      <c r="F77" s="9" t="s">
        <v>4</v>
      </c>
      <c r="G77" s="9" t="s">
        <v>4</v>
      </c>
      <c r="H77" s="9" t="s">
        <v>4</v>
      </c>
      <c r="I77" s="9" t="s">
        <v>4</v>
      </c>
      <c r="J77" s="9" t="s">
        <v>4</v>
      </c>
      <c r="K77" s="9" t="s">
        <v>4</v>
      </c>
      <c r="L77" s="9" t="s">
        <v>4</v>
      </c>
      <c r="M77" s="9" t="s">
        <v>4</v>
      </c>
      <c r="N77" s="9" t="s">
        <v>4</v>
      </c>
      <c r="O77" s="9" t="s">
        <v>4</v>
      </c>
      <c r="P77" s="9" t="s">
        <v>4</v>
      </c>
      <c r="Q77" s="9" t="s">
        <v>4</v>
      </c>
      <c r="R77" s="9" t="s">
        <v>4</v>
      </c>
      <c r="S77" s="9" t="s">
        <v>4</v>
      </c>
      <c r="T77" s="9" t="s">
        <v>4</v>
      </c>
      <c r="U77" s="9" t="s">
        <v>4</v>
      </c>
      <c r="V77" s="9" t="s">
        <v>4</v>
      </c>
      <c r="W77" s="9" t="s">
        <v>4</v>
      </c>
      <c r="X77" s="9" t="s">
        <v>4</v>
      </c>
      <c r="Y77" s="9" t="s">
        <v>4</v>
      </c>
      <c r="Z77" s="25" t="s">
        <v>4</v>
      </c>
    </row>
    <row r="78" spans="1:26" ht="15.75" customHeight="1" thickBot="1" x14ac:dyDescent="0.25">
      <c r="A78" s="48"/>
      <c r="B78" s="33" t="s">
        <v>78</v>
      </c>
      <c r="C78" s="27" t="s">
        <v>4</v>
      </c>
      <c r="D78" s="27" t="s">
        <v>4</v>
      </c>
      <c r="E78" s="27" t="s">
        <v>4</v>
      </c>
      <c r="F78" s="27" t="s">
        <v>4</v>
      </c>
      <c r="G78" s="27" t="s">
        <v>4</v>
      </c>
      <c r="H78" s="27" t="s">
        <v>4</v>
      </c>
      <c r="I78" s="27" t="s">
        <v>4</v>
      </c>
      <c r="J78" s="27" t="s">
        <v>4</v>
      </c>
      <c r="K78" s="27" t="s">
        <v>4</v>
      </c>
      <c r="L78" s="27" t="s">
        <v>4</v>
      </c>
      <c r="M78" s="27" t="s">
        <v>4</v>
      </c>
      <c r="N78" s="27" t="s">
        <v>4</v>
      </c>
      <c r="O78" s="27" t="s">
        <v>4</v>
      </c>
      <c r="P78" s="27" t="s">
        <v>4</v>
      </c>
      <c r="Q78" s="27" t="s">
        <v>4</v>
      </c>
      <c r="R78" s="27" t="s">
        <v>4</v>
      </c>
      <c r="S78" s="27" t="s">
        <v>4</v>
      </c>
      <c r="T78" s="27" t="s">
        <v>4</v>
      </c>
      <c r="U78" s="27" t="s">
        <v>4</v>
      </c>
      <c r="V78" s="27" t="s">
        <v>4</v>
      </c>
      <c r="W78" s="27" t="s">
        <v>4</v>
      </c>
      <c r="X78" s="27" t="s">
        <v>4</v>
      </c>
      <c r="Y78" s="27" t="s">
        <v>4</v>
      </c>
      <c r="Z78" s="28" t="s">
        <v>4</v>
      </c>
    </row>
    <row r="79" spans="1:26" x14ac:dyDescent="0.2">
      <c r="A79" s="46" t="s">
        <v>79</v>
      </c>
      <c r="B79" s="32" t="s">
        <v>80</v>
      </c>
      <c r="C79" s="23" t="s">
        <v>3</v>
      </c>
      <c r="D79" s="23" t="s">
        <v>3</v>
      </c>
      <c r="E79" s="23" t="s">
        <v>4</v>
      </c>
      <c r="F79" s="23" t="s">
        <v>4</v>
      </c>
      <c r="G79" s="23" t="s">
        <v>4</v>
      </c>
      <c r="H79" s="23" t="s">
        <v>4</v>
      </c>
      <c r="I79" s="23" t="s">
        <v>4</v>
      </c>
      <c r="J79" s="23" t="s">
        <v>4</v>
      </c>
      <c r="K79" s="23" t="s">
        <v>4</v>
      </c>
      <c r="L79" s="23" t="s">
        <v>4</v>
      </c>
      <c r="M79" s="23" t="s">
        <v>4</v>
      </c>
      <c r="N79" s="23" t="s">
        <v>4</v>
      </c>
      <c r="O79" s="23" t="s">
        <v>4</v>
      </c>
      <c r="P79" s="23" t="s">
        <v>4</v>
      </c>
      <c r="Q79" s="23" t="s">
        <v>4</v>
      </c>
      <c r="R79" s="23" t="s">
        <v>4</v>
      </c>
      <c r="S79" s="23" t="s">
        <v>4</v>
      </c>
      <c r="T79" s="23" t="s">
        <v>4</v>
      </c>
      <c r="U79" s="23" t="s">
        <v>4</v>
      </c>
      <c r="V79" s="23" t="s">
        <v>4</v>
      </c>
      <c r="W79" s="23" t="s">
        <v>4</v>
      </c>
      <c r="X79" s="23" t="s">
        <v>4</v>
      </c>
      <c r="Y79" s="23" t="s">
        <v>4</v>
      </c>
      <c r="Z79" s="24" t="s">
        <v>4</v>
      </c>
    </row>
    <row r="80" spans="1:26" x14ac:dyDescent="0.2">
      <c r="A80" s="47"/>
      <c r="B80" s="3" t="s">
        <v>81</v>
      </c>
      <c r="C80" s="9" t="s">
        <v>3</v>
      </c>
      <c r="D80" s="9" t="s">
        <v>3</v>
      </c>
      <c r="E80" s="9" t="s">
        <v>4</v>
      </c>
      <c r="F80" s="9" t="s">
        <v>4</v>
      </c>
      <c r="G80" s="9" t="s">
        <v>4</v>
      </c>
      <c r="H80" s="9" t="s">
        <v>4</v>
      </c>
      <c r="I80" s="9" t="s">
        <v>4</v>
      </c>
      <c r="J80" s="9" t="s">
        <v>4</v>
      </c>
      <c r="K80" s="9" t="s">
        <v>4</v>
      </c>
      <c r="L80" s="9" t="s">
        <v>4</v>
      </c>
      <c r="M80" s="9" t="s">
        <v>4</v>
      </c>
      <c r="N80" s="9" t="s">
        <v>4</v>
      </c>
      <c r="O80" s="9" t="s">
        <v>4</v>
      </c>
      <c r="P80" s="9" t="s">
        <v>4</v>
      </c>
      <c r="Q80" s="9" t="s">
        <v>4</v>
      </c>
      <c r="R80" s="9" t="s">
        <v>4</v>
      </c>
      <c r="S80" s="9" t="s">
        <v>4</v>
      </c>
      <c r="T80" s="9" t="s">
        <v>4</v>
      </c>
      <c r="U80" s="9" t="s">
        <v>4</v>
      </c>
      <c r="V80" s="9" t="s">
        <v>4</v>
      </c>
      <c r="W80" s="9" t="s">
        <v>4</v>
      </c>
      <c r="X80" s="9" t="s">
        <v>4</v>
      </c>
      <c r="Y80" s="9" t="s">
        <v>4</v>
      </c>
      <c r="Z80" s="25" t="s">
        <v>4</v>
      </c>
    </row>
    <row r="81" spans="1:26" x14ac:dyDescent="0.2">
      <c r="A81" s="47"/>
      <c r="B81" s="3" t="s">
        <v>82</v>
      </c>
      <c r="C81" s="9" t="s">
        <v>3</v>
      </c>
      <c r="D81" s="9" t="s">
        <v>3</v>
      </c>
      <c r="E81" s="9" t="s">
        <v>4</v>
      </c>
      <c r="F81" s="9" t="s">
        <v>4</v>
      </c>
      <c r="G81" s="9" t="s">
        <v>4</v>
      </c>
      <c r="H81" s="9" t="s">
        <v>4</v>
      </c>
      <c r="I81" s="9" t="s">
        <v>4</v>
      </c>
      <c r="J81" s="9" t="s">
        <v>4</v>
      </c>
      <c r="K81" s="9" t="s">
        <v>4</v>
      </c>
      <c r="L81" s="9" t="s">
        <v>4</v>
      </c>
      <c r="M81" s="9" t="s">
        <v>4</v>
      </c>
      <c r="N81" s="9" t="s">
        <v>4</v>
      </c>
      <c r="O81" s="9" t="s">
        <v>4</v>
      </c>
      <c r="P81" s="9" t="s">
        <v>4</v>
      </c>
      <c r="Q81" s="9" t="s">
        <v>4</v>
      </c>
      <c r="R81" s="9" t="s">
        <v>4</v>
      </c>
      <c r="S81" s="9" t="s">
        <v>4</v>
      </c>
      <c r="T81" s="9" t="s">
        <v>4</v>
      </c>
      <c r="U81" s="9" t="s">
        <v>4</v>
      </c>
      <c r="V81" s="9" t="s">
        <v>4</v>
      </c>
      <c r="W81" s="9" t="s">
        <v>4</v>
      </c>
      <c r="X81" s="9" t="s">
        <v>4</v>
      </c>
      <c r="Y81" s="9" t="s">
        <v>4</v>
      </c>
      <c r="Z81" s="25" t="s">
        <v>4</v>
      </c>
    </row>
    <row r="82" spans="1:26" x14ac:dyDescent="0.2">
      <c r="A82" s="47"/>
      <c r="B82" s="3" t="s">
        <v>83</v>
      </c>
      <c r="C82" s="9" t="s">
        <v>273</v>
      </c>
      <c r="D82" s="9" t="s">
        <v>273</v>
      </c>
      <c r="E82" s="9" t="s">
        <v>4</v>
      </c>
      <c r="F82" s="9" t="s">
        <v>4</v>
      </c>
      <c r="G82" s="9" t="s">
        <v>4</v>
      </c>
      <c r="H82" s="9" t="s">
        <v>4</v>
      </c>
      <c r="I82" s="9" t="s">
        <v>4</v>
      </c>
      <c r="J82" s="9" t="s">
        <v>4</v>
      </c>
      <c r="K82" s="9" t="s">
        <v>4</v>
      </c>
      <c r="L82" s="9" t="s">
        <v>4</v>
      </c>
      <c r="M82" s="9" t="s">
        <v>4</v>
      </c>
      <c r="N82" s="9" t="s">
        <v>4</v>
      </c>
      <c r="O82" s="9" t="s">
        <v>4</v>
      </c>
      <c r="P82" s="9" t="s">
        <v>4</v>
      </c>
      <c r="Q82" s="9" t="s">
        <v>4</v>
      </c>
      <c r="R82" s="9" t="s">
        <v>4</v>
      </c>
      <c r="S82" s="9" t="s">
        <v>4</v>
      </c>
      <c r="T82" s="9" t="s">
        <v>4</v>
      </c>
      <c r="U82" s="9" t="s">
        <v>4</v>
      </c>
      <c r="V82" s="9" t="s">
        <v>4</v>
      </c>
      <c r="W82" s="9" t="s">
        <v>4</v>
      </c>
      <c r="X82" s="9" t="s">
        <v>4</v>
      </c>
      <c r="Y82" s="9" t="s">
        <v>4</v>
      </c>
      <c r="Z82" s="25" t="s">
        <v>4</v>
      </c>
    </row>
    <row r="83" spans="1:26" x14ac:dyDescent="0.2">
      <c r="A83" s="47"/>
      <c r="B83" s="3" t="s">
        <v>84</v>
      </c>
      <c r="C83" s="9" t="s">
        <v>273</v>
      </c>
      <c r="D83" s="9" t="s">
        <v>273</v>
      </c>
      <c r="E83" s="9" t="s">
        <v>4</v>
      </c>
      <c r="F83" s="9" t="s">
        <v>4</v>
      </c>
      <c r="G83" s="9" t="s">
        <v>4</v>
      </c>
      <c r="H83" s="9" t="s">
        <v>4</v>
      </c>
      <c r="I83" s="9" t="s">
        <v>4</v>
      </c>
      <c r="J83" s="9" t="s">
        <v>4</v>
      </c>
      <c r="K83" s="9" t="s">
        <v>4</v>
      </c>
      <c r="L83" s="9" t="s">
        <v>4</v>
      </c>
      <c r="M83" s="9" t="s">
        <v>4</v>
      </c>
      <c r="N83" s="9" t="s">
        <v>4</v>
      </c>
      <c r="O83" s="9" t="s">
        <v>4</v>
      </c>
      <c r="P83" s="9" t="s">
        <v>4</v>
      </c>
      <c r="Q83" s="9" t="s">
        <v>4</v>
      </c>
      <c r="R83" s="9" t="s">
        <v>4</v>
      </c>
      <c r="S83" s="9" t="s">
        <v>4</v>
      </c>
      <c r="T83" s="9" t="s">
        <v>4</v>
      </c>
      <c r="U83" s="9" t="s">
        <v>4</v>
      </c>
      <c r="V83" s="9" t="s">
        <v>4</v>
      </c>
      <c r="W83" s="9" t="s">
        <v>4</v>
      </c>
      <c r="X83" s="9" t="s">
        <v>4</v>
      </c>
      <c r="Y83" s="9" t="s">
        <v>4</v>
      </c>
      <c r="Z83" s="25" t="s">
        <v>4</v>
      </c>
    </row>
    <row r="84" spans="1:26" x14ac:dyDescent="0.2">
      <c r="A84" s="47"/>
      <c r="B84" s="3" t="s">
        <v>85</v>
      </c>
      <c r="C84" s="9" t="s">
        <v>4</v>
      </c>
      <c r="D84" s="9" t="s">
        <v>4</v>
      </c>
      <c r="E84" s="9" t="s">
        <v>4</v>
      </c>
      <c r="F84" s="9" t="s">
        <v>4</v>
      </c>
      <c r="G84" s="9" t="s">
        <v>4</v>
      </c>
      <c r="H84" s="9" t="s">
        <v>4</v>
      </c>
      <c r="I84" s="9" t="s">
        <v>4</v>
      </c>
      <c r="J84" s="9" t="s">
        <v>4</v>
      </c>
      <c r="K84" s="9" t="s">
        <v>4</v>
      </c>
      <c r="L84" s="9" t="s">
        <v>4</v>
      </c>
      <c r="M84" s="9" t="s">
        <v>4</v>
      </c>
      <c r="N84" s="9" t="s">
        <v>4</v>
      </c>
      <c r="O84" s="9" t="s">
        <v>4</v>
      </c>
      <c r="P84" s="9" t="s">
        <v>4</v>
      </c>
      <c r="Q84" s="9" t="s">
        <v>4</v>
      </c>
      <c r="R84" s="9" t="s">
        <v>4</v>
      </c>
      <c r="S84" s="9" t="s">
        <v>4</v>
      </c>
      <c r="T84" s="9" t="s">
        <v>4</v>
      </c>
      <c r="U84" s="9" t="s">
        <v>4</v>
      </c>
      <c r="V84" s="9" t="s">
        <v>4</v>
      </c>
      <c r="W84" s="9" t="s">
        <v>4</v>
      </c>
      <c r="X84" s="9" t="s">
        <v>4</v>
      </c>
      <c r="Y84" s="9" t="s">
        <v>4</v>
      </c>
      <c r="Z84" s="25" t="s">
        <v>4</v>
      </c>
    </row>
    <row r="85" spans="1:26" x14ac:dyDescent="0.2">
      <c r="A85" s="47"/>
      <c r="B85" s="3" t="s">
        <v>86</v>
      </c>
      <c r="C85" s="9" t="s">
        <v>4</v>
      </c>
      <c r="D85" s="9" t="s">
        <v>4</v>
      </c>
      <c r="E85" s="9" t="s">
        <v>4</v>
      </c>
      <c r="F85" s="9" t="s">
        <v>4</v>
      </c>
      <c r="G85" s="9" t="s">
        <v>4</v>
      </c>
      <c r="H85" s="9" t="s">
        <v>4</v>
      </c>
      <c r="I85" s="9" t="s">
        <v>4</v>
      </c>
      <c r="J85" s="9" t="s">
        <v>4</v>
      </c>
      <c r="K85" s="9" t="s">
        <v>4</v>
      </c>
      <c r="L85" s="9" t="s">
        <v>4</v>
      </c>
      <c r="M85" s="9" t="s">
        <v>4</v>
      </c>
      <c r="N85" s="9" t="s">
        <v>4</v>
      </c>
      <c r="O85" s="9" t="s">
        <v>4</v>
      </c>
      <c r="P85" s="9" t="s">
        <v>4</v>
      </c>
      <c r="Q85" s="9" t="s">
        <v>4</v>
      </c>
      <c r="R85" s="9" t="s">
        <v>4</v>
      </c>
      <c r="S85" s="9" t="s">
        <v>4</v>
      </c>
      <c r="T85" s="9" t="s">
        <v>4</v>
      </c>
      <c r="U85" s="9" t="s">
        <v>4</v>
      </c>
      <c r="V85" s="9" t="s">
        <v>4</v>
      </c>
      <c r="W85" s="9" t="s">
        <v>4</v>
      </c>
      <c r="X85" s="9" t="s">
        <v>4</v>
      </c>
      <c r="Y85" s="9" t="s">
        <v>4</v>
      </c>
      <c r="Z85" s="25" t="s">
        <v>4</v>
      </c>
    </row>
    <row r="86" spans="1:26" x14ac:dyDescent="0.2">
      <c r="A86" s="47"/>
      <c r="B86" s="3" t="s">
        <v>87</v>
      </c>
      <c r="C86" s="9" t="s">
        <v>4</v>
      </c>
      <c r="D86" s="9" t="s">
        <v>4</v>
      </c>
      <c r="E86" s="9" t="s">
        <v>4</v>
      </c>
      <c r="F86" s="9" t="s">
        <v>4</v>
      </c>
      <c r="G86" s="9" t="s">
        <v>4</v>
      </c>
      <c r="H86" s="9" t="s">
        <v>4</v>
      </c>
      <c r="I86" s="9" t="s">
        <v>4</v>
      </c>
      <c r="J86" s="9" t="s">
        <v>4</v>
      </c>
      <c r="K86" s="9" t="s">
        <v>4</v>
      </c>
      <c r="L86" s="9" t="s">
        <v>4</v>
      </c>
      <c r="M86" s="9" t="s">
        <v>4</v>
      </c>
      <c r="N86" s="9" t="s">
        <v>4</v>
      </c>
      <c r="O86" s="9" t="s">
        <v>4</v>
      </c>
      <c r="P86" s="9" t="s">
        <v>4</v>
      </c>
      <c r="Q86" s="9" t="s">
        <v>4</v>
      </c>
      <c r="R86" s="9" t="s">
        <v>4</v>
      </c>
      <c r="S86" s="9" t="s">
        <v>4</v>
      </c>
      <c r="T86" s="9" t="s">
        <v>4</v>
      </c>
      <c r="U86" s="9" t="s">
        <v>4</v>
      </c>
      <c r="V86" s="9" t="s">
        <v>4</v>
      </c>
      <c r="W86" s="9" t="s">
        <v>4</v>
      </c>
      <c r="X86" s="9" t="s">
        <v>4</v>
      </c>
      <c r="Y86" s="9" t="s">
        <v>4</v>
      </c>
      <c r="Z86" s="25" t="s">
        <v>4</v>
      </c>
    </row>
    <row r="87" spans="1:26" x14ac:dyDescent="0.2">
      <c r="A87" s="47"/>
      <c r="B87" s="3" t="s">
        <v>88</v>
      </c>
      <c r="C87" s="9" t="s">
        <v>4</v>
      </c>
      <c r="D87" s="9" t="s">
        <v>4</v>
      </c>
      <c r="E87" s="9" t="s">
        <v>4</v>
      </c>
      <c r="F87" s="9" t="s">
        <v>4</v>
      </c>
      <c r="G87" s="9" t="s">
        <v>4</v>
      </c>
      <c r="H87" s="9" t="s">
        <v>4</v>
      </c>
      <c r="I87" s="9" t="s">
        <v>4</v>
      </c>
      <c r="J87" s="9" t="s">
        <v>4</v>
      </c>
      <c r="K87" s="9" t="s">
        <v>4</v>
      </c>
      <c r="L87" s="9" t="s">
        <v>4</v>
      </c>
      <c r="M87" s="9" t="s">
        <v>4</v>
      </c>
      <c r="N87" s="9" t="s">
        <v>4</v>
      </c>
      <c r="O87" s="9" t="s">
        <v>4</v>
      </c>
      <c r="P87" s="9" t="s">
        <v>4</v>
      </c>
      <c r="Q87" s="9" t="s">
        <v>4</v>
      </c>
      <c r="R87" s="9" t="s">
        <v>4</v>
      </c>
      <c r="S87" s="9" t="s">
        <v>4</v>
      </c>
      <c r="T87" s="9" t="s">
        <v>4</v>
      </c>
      <c r="U87" s="9" t="s">
        <v>4</v>
      </c>
      <c r="V87" s="9" t="s">
        <v>4</v>
      </c>
      <c r="W87" s="9" t="s">
        <v>4</v>
      </c>
      <c r="X87" s="9" t="s">
        <v>4</v>
      </c>
      <c r="Y87" s="9" t="s">
        <v>4</v>
      </c>
      <c r="Z87" s="25" t="s">
        <v>4</v>
      </c>
    </row>
    <row r="88" spans="1:26" x14ac:dyDescent="0.2">
      <c r="A88" s="47"/>
      <c r="B88" s="3" t="s">
        <v>89</v>
      </c>
      <c r="C88" s="9" t="s">
        <v>4</v>
      </c>
      <c r="D88" s="9" t="s">
        <v>4</v>
      </c>
      <c r="E88" s="9" t="s">
        <v>4</v>
      </c>
      <c r="F88" s="9" t="s">
        <v>4</v>
      </c>
      <c r="G88" s="9" t="s">
        <v>4</v>
      </c>
      <c r="H88" s="9" t="s">
        <v>4</v>
      </c>
      <c r="I88" s="9" t="s">
        <v>4</v>
      </c>
      <c r="J88" s="9" t="s">
        <v>4</v>
      </c>
      <c r="K88" s="9" t="s">
        <v>4</v>
      </c>
      <c r="L88" s="9" t="s">
        <v>4</v>
      </c>
      <c r="M88" s="9" t="s">
        <v>4</v>
      </c>
      <c r="N88" s="9" t="s">
        <v>4</v>
      </c>
      <c r="O88" s="9" t="s">
        <v>4</v>
      </c>
      <c r="P88" s="9" t="s">
        <v>4</v>
      </c>
      <c r="Q88" s="9" t="s">
        <v>4</v>
      </c>
      <c r="R88" s="9" t="s">
        <v>4</v>
      </c>
      <c r="S88" s="9" t="s">
        <v>4</v>
      </c>
      <c r="T88" s="9" t="s">
        <v>4</v>
      </c>
      <c r="U88" s="9" t="s">
        <v>4</v>
      </c>
      <c r="V88" s="9" t="s">
        <v>4</v>
      </c>
      <c r="W88" s="9" t="s">
        <v>4</v>
      </c>
      <c r="X88" s="9" t="s">
        <v>4</v>
      </c>
      <c r="Y88" s="9" t="s">
        <v>4</v>
      </c>
      <c r="Z88" s="25" t="s">
        <v>4</v>
      </c>
    </row>
    <row r="89" spans="1:26" x14ac:dyDescent="0.2">
      <c r="A89" s="47"/>
      <c r="B89" s="3" t="s">
        <v>90</v>
      </c>
      <c r="C89" s="9" t="s">
        <v>4</v>
      </c>
      <c r="D89" s="9" t="s">
        <v>4</v>
      </c>
      <c r="E89" s="9" t="s">
        <v>4</v>
      </c>
      <c r="F89" s="9" t="s">
        <v>4</v>
      </c>
      <c r="G89" s="9" t="s">
        <v>4</v>
      </c>
      <c r="H89" s="9" t="s">
        <v>4</v>
      </c>
      <c r="I89" s="9" t="s">
        <v>4</v>
      </c>
      <c r="J89" s="9" t="s">
        <v>4</v>
      </c>
      <c r="K89" s="9" t="s">
        <v>4</v>
      </c>
      <c r="L89" s="9" t="s">
        <v>4</v>
      </c>
      <c r="M89" s="9" t="s">
        <v>4</v>
      </c>
      <c r="N89" s="9" t="s">
        <v>4</v>
      </c>
      <c r="O89" s="9" t="s">
        <v>4</v>
      </c>
      <c r="P89" s="9" t="s">
        <v>4</v>
      </c>
      <c r="Q89" s="9" t="s">
        <v>4</v>
      </c>
      <c r="R89" s="9" t="s">
        <v>4</v>
      </c>
      <c r="S89" s="9" t="s">
        <v>4</v>
      </c>
      <c r="T89" s="9" t="s">
        <v>4</v>
      </c>
      <c r="U89" s="9" t="s">
        <v>4</v>
      </c>
      <c r="V89" s="9" t="s">
        <v>4</v>
      </c>
      <c r="W89" s="9" t="s">
        <v>4</v>
      </c>
      <c r="X89" s="9" t="s">
        <v>4</v>
      </c>
      <c r="Y89" s="9" t="s">
        <v>4</v>
      </c>
      <c r="Z89" s="25" t="s">
        <v>4</v>
      </c>
    </row>
    <row r="90" spans="1:26" x14ac:dyDescent="0.2">
      <c r="A90" s="47"/>
      <c r="B90" s="3" t="s">
        <v>62</v>
      </c>
      <c r="C90" s="9" t="s">
        <v>4</v>
      </c>
      <c r="D90" s="9" t="s">
        <v>4</v>
      </c>
      <c r="E90" s="9" t="s">
        <v>4</v>
      </c>
      <c r="F90" s="9" t="s">
        <v>4</v>
      </c>
      <c r="G90" s="9" t="s">
        <v>4</v>
      </c>
      <c r="H90" s="9" t="s">
        <v>4</v>
      </c>
      <c r="I90" s="9" t="s">
        <v>4</v>
      </c>
      <c r="J90" s="9" t="s">
        <v>4</v>
      </c>
      <c r="K90" s="9" t="s">
        <v>4</v>
      </c>
      <c r="L90" s="9" t="s">
        <v>4</v>
      </c>
      <c r="M90" s="9" t="s">
        <v>4</v>
      </c>
      <c r="N90" s="9" t="s">
        <v>4</v>
      </c>
      <c r="O90" s="9" t="s">
        <v>4</v>
      </c>
      <c r="P90" s="9" t="s">
        <v>4</v>
      </c>
      <c r="Q90" s="9" t="s">
        <v>4</v>
      </c>
      <c r="R90" s="9" t="s">
        <v>4</v>
      </c>
      <c r="S90" s="9" t="s">
        <v>4</v>
      </c>
      <c r="T90" s="9" t="s">
        <v>4</v>
      </c>
      <c r="U90" s="9" t="s">
        <v>4</v>
      </c>
      <c r="V90" s="9" t="s">
        <v>4</v>
      </c>
      <c r="W90" s="9" t="s">
        <v>4</v>
      </c>
      <c r="X90" s="9" t="s">
        <v>4</v>
      </c>
      <c r="Y90" s="9" t="s">
        <v>4</v>
      </c>
      <c r="Z90" s="25" t="s">
        <v>4</v>
      </c>
    </row>
    <row r="91" spans="1:26" x14ac:dyDescent="0.2">
      <c r="A91" s="47"/>
      <c r="B91" s="3" t="s">
        <v>91</v>
      </c>
      <c r="C91" s="9" t="s">
        <v>4</v>
      </c>
      <c r="D91" s="9" t="s">
        <v>4</v>
      </c>
      <c r="E91" s="9" t="s">
        <v>4</v>
      </c>
      <c r="F91" s="9" t="s">
        <v>4</v>
      </c>
      <c r="G91" s="9" t="s">
        <v>4</v>
      </c>
      <c r="H91" s="9" t="s">
        <v>4</v>
      </c>
      <c r="I91" s="9" t="s">
        <v>4</v>
      </c>
      <c r="J91" s="9" t="s">
        <v>4</v>
      </c>
      <c r="K91" s="9" t="s">
        <v>4</v>
      </c>
      <c r="L91" s="9" t="s">
        <v>4</v>
      </c>
      <c r="M91" s="9" t="s">
        <v>4</v>
      </c>
      <c r="N91" s="9" t="s">
        <v>4</v>
      </c>
      <c r="O91" s="9" t="s">
        <v>4</v>
      </c>
      <c r="P91" s="9" t="s">
        <v>4</v>
      </c>
      <c r="Q91" s="9" t="s">
        <v>4</v>
      </c>
      <c r="R91" s="9" t="s">
        <v>4</v>
      </c>
      <c r="S91" s="9" t="s">
        <v>4</v>
      </c>
      <c r="T91" s="9" t="s">
        <v>4</v>
      </c>
      <c r="U91" s="9" t="s">
        <v>4</v>
      </c>
      <c r="V91" s="9" t="s">
        <v>4</v>
      </c>
      <c r="W91" s="9" t="s">
        <v>4</v>
      </c>
      <c r="X91" s="9" t="s">
        <v>4</v>
      </c>
      <c r="Y91" s="9" t="s">
        <v>4</v>
      </c>
      <c r="Z91" s="25" t="s">
        <v>4</v>
      </c>
    </row>
    <row r="92" spans="1:26" x14ac:dyDescent="0.2">
      <c r="A92" s="47"/>
      <c r="B92" s="3" t="s">
        <v>92</v>
      </c>
      <c r="C92" s="9" t="s">
        <v>4</v>
      </c>
      <c r="D92" s="9" t="s">
        <v>4</v>
      </c>
      <c r="E92" s="9" t="s">
        <v>4</v>
      </c>
      <c r="F92" s="9" t="s">
        <v>4</v>
      </c>
      <c r="G92" s="9" t="s">
        <v>4</v>
      </c>
      <c r="H92" s="9" t="s">
        <v>4</v>
      </c>
      <c r="I92" s="9" t="s">
        <v>4</v>
      </c>
      <c r="J92" s="9" t="s">
        <v>4</v>
      </c>
      <c r="K92" s="9" t="s">
        <v>4</v>
      </c>
      <c r="L92" s="9" t="s">
        <v>4</v>
      </c>
      <c r="M92" s="9" t="s">
        <v>4</v>
      </c>
      <c r="N92" s="9" t="s">
        <v>4</v>
      </c>
      <c r="O92" s="9" t="s">
        <v>4</v>
      </c>
      <c r="P92" s="9" t="s">
        <v>4</v>
      </c>
      <c r="Q92" s="9" t="s">
        <v>4</v>
      </c>
      <c r="R92" s="9" t="s">
        <v>4</v>
      </c>
      <c r="S92" s="9" t="s">
        <v>4</v>
      </c>
      <c r="T92" s="9" t="s">
        <v>4</v>
      </c>
      <c r="U92" s="9" t="s">
        <v>4</v>
      </c>
      <c r="V92" s="9" t="s">
        <v>4</v>
      </c>
      <c r="W92" s="9" t="s">
        <v>4</v>
      </c>
      <c r="X92" s="9" t="s">
        <v>4</v>
      </c>
      <c r="Y92" s="9" t="s">
        <v>4</v>
      </c>
      <c r="Z92" s="25" t="s">
        <v>4</v>
      </c>
    </row>
    <row r="93" spans="1:26" x14ac:dyDescent="0.2">
      <c r="A93" s="47"/>
      <c r="B93" s="3" t="s">
        <v>93</v>
      </c>
      <c r="C93" s="9" t="s">
        <v>4</v>
      </c>
      <c r="D93" s="9" t="s">
        <v>4</v>
      </c>
      <c r="E93" s="9" t="s">
        <v>4</v>
      </c>
      <c r="F93" s="9" t="s">
        <v>4</v>
      </c>
      <c r="G93" s="9" t="s">
        <v>4</v>
      </c>
      <c r="H93" s="9" t="s">
        <v>4</v>
      </c>
      <c r="I93" s="9" t="s">
        <v>4</v>
      </c>
      <c r="J93" s="9" t="s">
        <v>4</v>
      </c>
      <c r="K93" s="9" t="s">
        <v>4</v>
      </c>
      <c r="L93" s="9" t="s">
        <v>4</v>
      </c>
      <c r="M93" s="9" t="s">
        <v>4</v>
      </c>
      <c r="N93" s="9" t="s">
        <v>4</v>
      </c>
      <c r="O93" s="9" t="s">
        <v>4</v>
      </c>
      <c r="P93" s="9" t="s">
        <v>4</v>
      </c>
      <c r="Q93" s="9" t="s">
        <v>4</v>
      </c>
      <c r="R93" s="9" t="s">
        <v>4</v>
      </c>
      <c r="S93" s="9" t="s">
        <v>4</v>
      </c>
      <c r="T93" s="9" t="s">
        <v>4</v>
      </c>
      <c r="U93" s="9" t="s">
        <v>4</v>
      </c>
      <c r="V93" s="9" t="s">
        <v>4</v>
      </c>
      <c r="W93" s="9" t="s">
        <v>4</v>
      </c>
      <c r="X93" s="9" t="s">
        <v>4</v>
      </c>
      <c r="Y93" s="9" t="s">
        <v>4</v>
      </c>
      <c r="Z93" s="25" t="s">
        <v>4</v>
      </c>
    </row>
    <row r="94" spans="1:26" x14ac:dyDescent="0.2">
      <c r="A94" s="47"/>
      <c r="B94" s="3" t="s">
        <v>94</v>
      </c>
      <c r="C94" s="9" t="s">
        <v>4</v>
      </c>
      <c r="D94" s="9" t="s">
        <v>4</v>
      </c>
      <c r="E94" s="9" t="s">
        <v>4</v>
      </c>
      <c r="F94" s="9" t="s">
        <v>4</v>
      </c>
      <c r="G94" s="9" t="s">
        <v>4</v>
      </c>
      <c r="H94" s="9" t="s">
        <v>4</v>
      </c>
      <c r="I94" s="9" t="s">
        <v>4</v>
      </c>
      <c r="J94" s="9" t="s">
        <v>4</v>
      </c>
      <c r="K94" s="9" t="s">
        <v>4</v>
      </c>
      <c r="L94" s="9" t="s">
        <v>4</v>
      </c>
      <c r="M94" s="9" t="s">
        <v>4</v>
      </c>
      <c r="N94" s="9" t="s">
        <v>4</v>
      </c>
      <c r="O94" s="9" t="s">
        <v>4</v>
      </c>
      <c r="P94" s="9" t="s">
        <v>4</v>
      </c>
      <c r="Q94" s="9" t="s">
        <v>4</v>
      </c>
      <c r="R94" s="9" t="s">
        <v>4</v>
      </c>
      <c r="S94" s="9" t="s">
        <v>4</v>
      </c>
      <c r="T94" s="9" t="s">
        <v>4</v>
      </c>
      <c r="U94" s="9" t="s">
        <v>4</v>
      </c>
      <c r="V94" s="9" t="s">
        <v>4</v>
      </c>
      <c r="W94" s="9" t="s">
        <v>4</v>
      </c>
      <c r="X94" s="9" t="s">
        <v>4</v>
      </c>
      <c r="Y94" s="9" t="s">
        <v>4</v>
      </c>
      <c r="Z94" s="25" t="s">
        <v>4</v>
      </c>
    </row>
    <row r="95" spans="1:26" x14ac:dyDescent="0.2">
      <c r="A95" s="47"/>
      <c r="B95" s="3" t="s">
        <v>95</v>
      </c>
      <c r="C95" s="9" t="s">
        <v>4</v>
      </c>
      <c r="D95" s="9" t="s">
        <v>4</v>
      </c>
      <c r="E95" s="9" t="s">
        <v>4</v>
      </c>
      <c r="F95" s="9" t="s">
        <v>4</v>
      </c>
      <c r="G95" s="9" t="s">
        <v>4</v>
      </c>
      <c r="H95" s="9" t="s">
        <v>4</v>
      </c>
      <c r="I95" s="9" t="s">
        <v>4</v>
      </c>
      <c r="J95" s="9" t="s">
        <v>4</v>
      </c>
      <c r="K95" s="9" t="s">
        <v>4</v>
      </c>
      <c r="L95" s="9" t="s">
        <v>4</v>
      </c>
      <c r="M95" s="9" t="s">
        <v>4</v>
      </c>
      <c r="N95" s="9" t="s">
        <v>4</v>
      </c>
      <c r="O95" s="9" t="s">
        <v>4</v>
      </c>
      <c r="P95" s="9" t="s">
        <v>4</v>
      </c>
      <c r="Q95" s="9" t="s">
        <v>4</v>
      </c>
      <c r="R95" s="9" t="s">
        <v>4</v>
      </c>
      <c r="S95" s="9" t="s">
        <v>4</v>
      </c>
      <c r="T95" s="9" t="s">
        <v>4</v>
      </c>
      <c r="U95" s="9" t="s">
        <v>4</v>
      </c>
      <c r="V95" s="9" t="s">
        <v>4</v>
      </c>
      <c r="W95" s="9" t="s">
        <v>4</v>
      </c>
      <c r="X95" s="9" t="s">
        <v>4</v>
      </c>
      <c r="Y95" s="9" t="s">
        <v>4</v>
      </c>
      <c r="Z95" s="25" t="s">
        <v>4</v>
      </c>
    </row>
    <row r="96" spans="1:26" x14ac:dyDescent="0.2">
      <c r="A96" s="47"/>
      <c r="B96" s="3" t="s">
        <v>96</v>
      </c>
      <c r="C96" s="9" t="s">
        <v>4</v>
      </c>
      <c r="D96" s="9" t="s">
        <v>4</v>
      </c>
      <c r="E96" s="9" t="s">
        <v>4</v>
      </c>
      <c r="F96" s="9" t="s">
        <v>4</v>
      </c>
      <c r="G96" s="9" t="s">
        <v>4</v>
      </c>
      <c r="H96" s="9" t="s">
        <v>4</v>
      </c>
      <c r="I96" s="9" t="s">
        <v>4</v>
      </c>
      <c r="J96" s="9" t="s">
        <v>4</v>
      </c>
      <c r="K96" s="9" t="s">
        <v>4</v>
      </c>
      <c r="L96" s="9" t="s">
        <v>4</v>
      </c>
      <c r="M96" s="9" t="s">
        <v>4</v>
      </c>
      <c r="N96" s="9" t="s">
        <v>4</v>
      </c>
      <c r="O96" s="9" t="s">
        <v>4</v>
      </c>
      <c r="P96" s="9" t="s">
        <v>4</v>
      </c>
      <c r="Q96" s="9" t="s">
        <v>4</v>
      </c>
      <c r="R96" s="9" t="s">
        <v>4</v>
      </c>
      <c r="S96" s="9" t="s">
        <v>4</v>
      </c>
      <c r="T96" s="9" t="s">
        <v>4</v>
      </c>
      <c r="U96" s="9" t="s">
        <v>4</v>
      </c>
      <c r="V96" s="9" t="s">
        <v>4</v>
      </c>
      <c r="W96" s="9" t="s">
        <v>4</v>
      </c>
      <c r="X96" s="9" t="s">
        <v>4</v>
      </c>
      <c r="Y96" s="9" t="s">
        <v>4</v>
      </c>
      <c r="Z96" s="25" t="s">
        <v>4</v>
      </c>
    </row>
    <row r="97" spans="1:26" x14ac:dyDescent="0.2">
      <c r="A97" s="47"/>
      <c r="B97" s="3" t="s">
        <v>78</v>
      </c>
      <c r="C97" s="9" t="s">
        <v>4</v>
      </c>
      <c r="D97" s="9" t="s">
        <v>4</v>
      </c>
      <c r="E97" s="9" t="s">
        <v>4</v>
      </c>
      <c r="F97" s="9" t="s">
        <v>4</v>
      </c>
      <c r="G97" s="9" t="s">
        <v>4</v>
      </c>
      <c r="H97" s="9" t="s">
        <v>4</v>
      </c>
      <c r="I97" s="9" t="s">
        <v>4</v>
      </c>
      <c r="J97" s="9" t="s">
        <v>4</v>
      </c>
      <c r="K97" s="9" t="s">
        <v>4</v>
      </c>
      <c r="L97" s="9" t="s">
        <v>4</v>
      </c>
      <c r="M97" s="9" t="s">
        <v>4</v>
      </c>
      <c r="N97" s="9" t="s">
        <v>4</v>
      </c>
      <c r="O97" s="9" t="s">
        <v>4</v>
      </c>
      <c r="P97" s="9" t="s">
        <v>4</v>
      </c>
      <c r="Q97" s="9" t="s">
        <v>4</v>
      </c>
      <c r="R97" s="9" t="s">
        <v>4</v>
      </c>
      <c r="S97" s="9" t="s">
        <v>4</v>
      </c>
      <c r="T97" s="9" t="s">
        <v>4</v>
      </c>
      <c r="U97" s="9" t="s">
        <v>4</v>
      </c>
      <c r="V97" s="9" t="s">
        <v>4</v>
      </c>
      <c r="W97" s="9" t="s">
        <v>4</v>
      </c>
      <c r="X97" s="9" t="s">
        <v>4</v>
      </c>
      <c r="Y97" s="9" t="s">
        <v>4</v>
      </c>
      <c r="Z97" s="25" t="s">
        <v>4</v>
      </c>
    </row>
    <row r="98" spans="1:26" x14ac:dyDescent="0.2">
      <c r="A98" s="47"/>
      <c r="B98" s="3" t="s">
        <v>97</v>
      </c>
      <c r="C98" s="9" t="s">
        <v>4</v>
      </c>
      <c r="D98" s="9" t="s">
        <v>4</v>
      </c>
      <c r="E98" s="9" t="s">
        <v>4</v>
      </c>
      <c r="F98" s="9" t="s">
        <v>4</v>
      </c>
      <c r="G98" s="9" t="s">
        <v>4</v>
      </c>
      <c r="H98" s="9" t="s">
        <v>4</v>
      </c>
      <c r="I98" s="9" t="s">
        <v>4</v>
      </c>
      <c r="J98" s="9" t="s">
        <v>4</v>
      </c>
      <c r="K98" s="9" t="s">
        <v>4</v>
      </c>
      <c r="L98" s="9" t="s">
        <v>4</v>
      </c>
      <c r="M98" s="9" t="s">
        <v>4</v>
      </c>
      <c r="N98" s="9" t="s">
        <v>4</v>
      </c>
      <c r="O98" s="9" t="s">
        <v>4</v>
      </c>
      <c r="P98" s="9" t="s">
        <v>4</v>
      </c>
      <c r="Q98" s="9" t="s">
        <v>4</v>
      </c>
      <c r="R98" s="9" t="s">
        <v>4</v>
      </c>
      <c r="S98" s="9" t="s">
        <v>4</v>
      </c>
      <c r="T98" s="9" t="s">
        <v>4</v>
      </c>
      <c r="U98" s="9" t="s">
        <v>4</v>
      </c>
      <c r="V98" s="9" t="s">
        <v>4</v>
      </c>
      <c r="W98" s="9" t="s">
        <v>4</v>
      </c>
      <c r="X98" s="9" t="s">
        <v>4</v>
      </c>
      <c r="Y98" s="9" t="s">
        <v>4</v>
      </c>
      <c r="Z98" s="25" t="s">
        <v>4</v>
      </c>
    </row>
    <row r="99" spans="1:26" x14ac:dyDescent="0.2">
      <c r="A99" s="47"/>
      <c r="B99" s="3" t="s">
        <v>98</v>
      </c>
      <c r="C99" s="9" t="s">
        <v>4</v>
      </c>
      <c r="D99" s="9" t="s">
        <v>4</v>
      </c>
      <c r="E99" s="9" t="s">
        <v>4</v>
      </c>
      <c r="F99" s="9" t="s">
        <v>4</v>
      </c>
      <c r="G99" s="9" t="s">
        <v>4</v>
      </c>
      <c r="H99" s="9" t="s">
        <v>4</v>
      </c>
      <c r="I99" s="9" t="s">
        <v>4</v>
      </c>
      <c r="J99" s="9" t="s">
        <v>4</v>
      </c>
      <c r="K99" s="9" t="s">
        <v>4</v>
      </c>
      <c r="L99" s="9" t="s">
        <v>4</v>
      </c>
      <c r="M99" s="9" t="s">
        <v>4</v>
      </c>
      <c r="N99" s="9" t="s">
        <v>4</v>
      </c>
      <c r="O99" s="9" t="s">
        <v>4</v>
      </c>
      <c r="P99" s="9" t="s">
        <v>4</v>
      </c>
      <c r="Q99" s="9" t="s">
        <v>4</v>
      </c>
      <c r="R99" s="9" t="s">
        <v>4</v>
      </c>
      <c r="S99" s="9" t="s">
        <v>4</v>
      </c>
      <c r="T99" s="9" t="s">
        <v>4</v>
      </c>
      <c r="U99" s="9" t="s">
        <v>4</v>
      </c>
      <c r="V99" s="9" t="s">
        <v>4</v>
      </c>
      <c r="W99" s="9" t="s">
        <v>4</v>
      </c>
      <c r="X99" s="9" t="s">
        <v>4</v>
      </c>
      <c r="Y99" s="9" t="s">
        <v>4</v>
      </c>
      <c r="Z99" s="25" t="s">
        <v>4</v>
      </c>
    </row>
    <row r="100" spans="1:26" x14ac:dyDescent="0.2">
      <c r="A100" s="47"/>
      <c r="B100" s="3" t="s">
        <v>99</v>
      </c>
      <c r="C100" s="9" t="s">
        <v>4</v>
      </c>
      <c r="D100" s="9" t="s">
        <v>4</v>
      </c>
      <c r="E100" s="9" t="s">
        <v>4</v>
      </c>
      <c r="F100" s="9" t="s">
        <v>4</v>
      </c>
      <c r="G100" s="9" t="s">
        <v>4</v>
      </c>
      <c r="H100" s="9" t="s">
        <v>4</v>
      </c>
      <c r="I100" s="9" t="s">
        <v>4</v>
      </c>
      <c r="J100" s="9" t="s">
        <v>4</v>
      </c>
      <c r="K100" s="9" t="s">
        <v>4</v>
      </c>
      <c r="L100" s="9" t="s">
        <v>4</v>
      </c>
      <c r="M100" s="9" t="s">
        <v>4</v>
      </c>
      <c r="N100" s="9" t="s">
        <v>4</v>
      </c>
      <c r="O100" s="9" t="s">
        <v>4</v>
      </c>
      <c r="P100" s="9" t="s">
        <v>4</v>
      </c>
      <c r="Q100" s="9" t="s">
        <v>4</v>
      </c>
      <c r="R100" s="9" t="s">
        <v>4</v>
      </c>
      <c r="S100" s="9" t="s">
        <v>4</v>
      </c>
      <c r="T100" s="9" t="s">
        <v>4</v>
      </c>
      <c r="U100" s="9" t="s">
        <v>4</v>
      </c>
      <c r="V100" s="9" t="s">
        <v>4</v>
      </c>
      <c r="W100" s="9" t="s">
        <v>4</v>
      </c>
      <c r="X100" s="9" t="s">
        <v>4</v>
      </c>
      <c r="Y100" s="9" t="s">
        <v>4</v>
      </c>
      <c r="Z100" s="25" t="s">
        <v>4</v>
      </c>
    </row>
    <row r="101" spans="1:26" x14ac:dyDescent="0.2">
      <c r="A101" s="47"/>
      <c r="B101" s="3" t="s">
        <v>100</v>
      </c>
      <c r="C101" s="9" t="s">
        <v>4</v>
      </c>
      <c r="D101" s="9" t="s">
        <v>4</v>
      </c>
      <c r="E101" s="9" t="s">
        <v>4</v>
      </c>
      <c r="F101" s="9" t="s">
        <v>4</v>
      </c>
      <c r="G101" s="9" t="s">
        <v>4</v>
      </c>
      <c r="H101" s="9" t="s">
        <v>4</v>
      </c>
      <c r="I101" s="9" t="s">
        <v>4</v>
      </c>
      <c r="J101" s="9" t="s">
        <v>4</v>
      </c>
      <c r="K101" s="9" t="s">
        <v>4</v>
      </c>
      <c r="L101" s="9" t="s">
        <v>4</v>
      </c>
      <c r="M101" s="9" t="s">
        <v>4</v>
      </c>
      <c r="N101" s="9" t="s">
        <v>4</v>
      </c>
      <c r="O101" s="9" t="s">
        <v>4</v>
      </c>
      <c r="P101" s="9" t="s">
        <v>4</v>
      </c>
      <c r="Q101" s="9" t="s">
        <v>4</v>
      </c>
      <c r="R101" s="9" t="s">
        <v>4</v>
      </c>
      <c r="S101" s="9" t="s">
        <v>4</v>
      </c>
      <c r="T101" s="9" t="s">
        <v>4</v>
      </c>
      <c r="U101" s="9" t="s">
        <v>4</v>
      </c>
      <c r="V101" s="9" t="s">
        <v>4</v>
      </c>
      <c r="W101" s="9" t="s">
        <v>4</v>
      </c>
      <c r="X101" s="9" t="s">
        <v>4</v>
      </c>
      <c r="Y101" s="9" t="s">
        <v>4</v>
      </c>
      <c r="Z101" s="25" t="s">
        <v>4</v>
      </c>
    </row>
    <row r="102" spans="1:26" x14ac:dyDescent="0.2">
      <c r="A102" s="47"/>
      <c r="B102" s="3" t="s">
        <v>101</v>
      </c>
      <c r="C102" s="9" t="s">
        <v>4</v>
      </c>
      <c r="D102" s="9" t="s">
        <v>4</v>
      </c>
      <c r="E102" s="9" t="s">
        <v>4</v>
      </c>
      <c r="F102" s="9" t="s">
        <v>4</v>
      </c>
      <c r="G102" s="9" t="s">
        <v>4</v>
      </c>
      <c r="H102" s="9" t="s">
        <v>4</v>
      </c>
      <c r="I102" s="9" t="s">
        <v>4</v>
      </c>
      <c r="J102" s="9" t="s">
        <v>4</v>
      </c>
      <c r="K102" s="9" t="s">
        <v>4</v>
      </c>
      <c r="L102" s="9" t="s">
        <v>4</v>
      </c>
      <c r="M102" s="9" t="s">
        <v>4</v>
      </c>
      <c r="N102" s="9" t="s">
        <v>4</v>
      </c>
      <c r="O102" s="9" t="s">
        <v>4</v>
      </c>
      <c r="P102" s="9" t="s">
        <v>4</v>
      </c>
      <c r="Q102" s="9" t="s">
        <v>4</v>
      </c>
      <c r="R102" s="9" t="s">
        <v>4</v>
      </c>
      <c r="S102" s="9" t="s">
        <v>4</v>
      </c>
      <c r="T102" s="9" t="s">
        <v>4</v>
      </c>
      <c r="U102" s="9" t="s">
        <v>4</v>
      </c>
      <c r="V102" s="9" t="s">
        <v>4</v>
      </c>
      <c r="W102" s="9" t="s">
        <v>4</v>
      </c>
      <c r="X102" s="9" t="s">
        <v>4</v>
      </c>
      <c r="Y102" s="9" t="s">
        <v>4</v>
      </c>
      <c r="Z102" s="25" t="s">
        <v>4</v>
      </c>
    </row>
    <row r="103" spans="1:26" x14ac:dyDescent="0.2">
      <c r="A103" s="47"/>
      <c r="B103" s="3" t="s">
        <v>102</v>
      </c>
      <c r="C103" s="9" t="s">
        <v>4</v>
      </c>
      <c r="D103" s="9" t="s">
        <v>4</v>
      </c>
      <c r="E103" s="9" t="s">
        <v>4</v>
      </c>
      <c r="F103" s="9" t="s">
        <v>4</v>
      </c>
      <c r="G103" s="9" t="s">
        <v>4</v>
      </c>
      <c r="H103" s="9" t="s">
        <v>4</v>
      </c>
      <c r="I103" s="9" t="s">
        <v>4</v>
      </c>
      <c r="J103" s="9" t="s">
        <v>4</v>
      </c>
      <c r="K103" s="9" t="s">
        <v>4</v>
      </c>
      <c r="L103" s="9" t="s">
        <v>4</v>
      </c>
      <c r="M103" s="9" t="s">
        <v>4</v>
      </c>
      <c r="N103" s="9" t="s">
        <v>4</v>
      </c>
      <c r="O103" s="9" t="s">
        <v>4</v>
      </c>
      <c r="P103" s="9" t="s">
        <v>4</v>
      </c>
      <c r="Q103" s="9" t="s">
        <v>4</v>
      </c>
      <c r="R103" s="9" t="s">
        <v>4</v>
      </c>
      <c r="S103" s="9" t="s">
        <v>4</v>
      </c>
      <c r="T103" s="9" t="s">
        <v>4</v>
      </c>
      <c r="U103" s="9" t="s">
        <v>4</v>
      </c>
      <c r="V103" s="9" t="s">
        <v>4</v>
      </c>
      <c r="W103" s="9" t="s">
        <v>4</v>
      </c>
      <c r="X103" s="9" t="s">
        <v>4</v>
      </c>
      <c r="Y103" s="9" t="s">
        <v>4</v>
      </c>
      <c r="Z103" s="25" t="s">
        <v>4</v>
      </c>
    </row>
    <row r="104" spans="1:26" ht="15.75" customHeight="1" thickBot="1" x14ac:dyDescent="0.25">
      <c r="A104" s="48"/>
      <c r="B104" s="33" t="s">
        <v>103</v>
      </c>
      <c r="C104" s="27" t="s">
        <v>4</v>
      </c>
      <c r="D104" s="27" t="s">
        <v>4</v>
      </c>
      <c r="E104" s="27" t="s">
        <v>4</v>
      </c>
      <c r="F104" s="27" t="s">
        <v>4</v>
      </c>
      <c r="G104" s="27" t="s">
        <v>4</v>
      </c>
      <c r="H104" s="27" t="s">
        <v>4</v>
      </c>
      <c r="I104" s="27" t="s">
        <v>4</v>
      </c>
      <c r="J104" s="27" t="s">
        <v>4</v>
      </c>
      <c r="K104" s="27" t="s">
        <v>4</v>
      </c>
      <c r="L104" s="27" t="s">
        <v>4</v>
      </c>
      <c r="M104" s="27" t="s">
        <v>4</v>
      </c>
      <c r="N104" s="27" t="s">
        <v>4</v>
      </c>
      <c r="O104" s="27" t="s">
        <v>4</v>
      </c>
      <c r="P104" s="27" t="s">
        <v>4</v>
      </c>
      <c r="Q104" s="27" t="s">
        <v>4</v>
      </c>
      <c r="R104" s="27" t="s">
        <v>4</v>
      </c>
      <c r="S104" s="27" t="s">
        <v>4</v>
      </c>
      <c r="T104" s="27" t="s">
        <v>4</v>
      </c>
      <c r="U104" s="27" t="s">
        <v>4</v>
      </c>
      <c r="V104" s="27" t="s">
        <v>4</v>
      </c>
      <c r="W104" s="27" t="s">
        <v>4</v>
      </c>
      <c r="X104" s="27" t="s">
        <v>4</v>
      </c>
      <c r="Y104" s="27" t="s">
        <v>4</v>
      </c>
      <c r="Z104" s="28" t="s">
        <v>4</v>
      </c>
    </row>
    <row r="105" spans="1:26" ht="15.75" customHeight="1" thickBot="1" x14ac:dyDescent="0.25">
      <c r="A105" s="34"/>
      <c r="B105"/>
      <c r="Z105" s="35"/>
    </row>
    <row r="106" spans="1:26" ht="15.75" customHeight="1" thickBot="1" x14ac:dyDescent="0.25">
      <c r="A106" s="52" t="s">
        <v>104</v>
      </c>
      <c r="B106" s="53"/>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5"/>
    </row>
    <row r="107" spans="1:26" x14ac:dyDescent="0.2">
      <c r="A107" s="46" t="s">
        <v>105</v>
      </c>
      <c r="B107" s="36" t="s">
        <v>106</v>
      </c>
      <c r="C107" s="23" t="s">
        <v>3</v>
      </c>
      <c r="D107" s="23" t="s">
        <v>3</v>
      </c>
      <c r="E107" s="23" t="s">
        <v>4</v>
      </c>
      <c r="F107" s="23" t="s">
        <v>4</v>
      </c>
      <c r="G107" s="23" t="s">
        <v>4</v>
      </c>
      <c r="H107" s="23" t="s">
        <v>4</v>
      </c>
      <c r="I107" s="23" t="s">
        <v>4</v>
      </c>
      <c r="J107" s="23" t="s">
        <v>4</v>
      </c>
      <c r="K107" s="23" t="s">
        <v>4</v>
      </c>
      <c r="L107" s="23" t="s">
        <v>4</v>
      </c>
      <c r="M107" s="23" t="s">
        <v>4</v>
      </c>
      <c r="N107" s="23" t="s">
        <v>4</v>
      </c>
      <c r="O107" s="23" t="s">
        <v>4</v>
      </c>
      <c r="P107" s="23" t="s">
        <v>4</v>
      </c>
      <c r="Q107" s="23" t="s">
        <v>4</v>
      </c>
      <c r="R107" s="23" t="s">
        <v>4</v>
      </c>
      <c r="S107" s="23" t="s">
        <v>4</v>
      </c>
      <c r="T107" s="23" t="s">
        <v>4</v>
      </c>
      <c r="U107" s="23" t="s">
        <v>4</v>
      </c>
      <c r="V107" s="23" t="s">
        <v>4</v>
      </c>
      <c r="W107" s="23" t="s">
        <v>4</v>
      </c>
      <c r="X107" s="23" t="s">
        <v>4</v>
      </c>
      <c r="Y107" s="23" t="s">
        <v>4</v>
      </c>
      <c r="Z107" s="24" t="s">
        <v>4</v>
      </c>
    </row>
    <row r="108" spans="1:26" x14ac:dyDescent="0.2">
      <c r="A108" s="47"/>
      <c r="B108" s="4" t="s">
        <v>107</v>
      </c>
      <c r="C108" s="9" t="s">
        <v>3</v>
      </c>
      <c r="D108" s="9" t="s">
        <v>3</v>
      </c>
      <c r="E108" s="9" t="s">
        <v>4</v>
      </c>
      <c r="F108" s="9" t="s">
        <v>4</v>
      </c>
      <c r="G108" s="9" t="s">
        <v>4</v>
      </c>
      <c r="H108" s="9" t="s">
        <v>4</v>
      </c>
      <c r="I108" s="9" t="s">
        <v>4</v>
      </c>
      <c r="J108" s="9" t="s">
        <v>4</v>
      </c>
      <c r="K108" s="9" t="s">
        <v>4</v>
      </c>
      <c r="L108" s="9" t="s">
        <v>4</v>
      </c>
      <c r="M108" s="9" t="s">
        <v>4</v>
      </c>
      <c r="N108" s="9" t="s">
        <v>4</v>
      </c>
      <c r="O108" s="9" t="s">
        <v>4</v>
      </c>
      <c r="P108" s="9" t="s">
        <v>4</v>
      </c>
      <c r="Q108" s="9" t="s">
        <v>4</v>
      </c>
      <c r="R108" s="9" t="s">
        <v>4</v>
      </c>
      <c r="S108" s="9" t="s">
        <v>4</v>
      </c>
      <c r="T108" s="9" t="s">
        <v>4</v>
      </c>
      <c r="U108" s="9" t="s">
        <v>4</v>
      </c>
      <c r="V108" s="9" t="s">
        <v>4</v>
      </c>
      <c r="W108" s="9" t="s">
        <v>4</v>
      </c>
      <c r="X108" s="9" t="s">
        <v>4</v>
      </c>
      <c r="Y108" s="9" t="s">
        <v>4</v>
      </c>
      <c r="Z108" s="25" t="s">
        <v>4</v>
      </c>
    </row>
    <row r="109" spans="1:26" x14ac:dyDescent="0.2">
      <c r="A109" s="47"/>
      <c r="B109" s="4" t="s">
        <v>108</v>
      </c>
      <c r="C109" s="9" t="s">
        <v>3</v>
      </c>
      <c r="D109" s="9" t="s">
        <v>3</v>
      </c>
      <c r="E109" s="9" t="s">
        <v>4</v>
      </c>
      <c r="F109" s="9" t="s">
        <v>4</v>
      </c>
      <c r="G109" s="9" t="s">
        <v>4</v>
      </c>
      <c r="H109" s="9" t="s">
        <v>4</v>
      </c>
      <c r="I109" s="9" t="s">
        <v>4</v>
      </c>
      <c r="J109" s="9" t="s">
        <v>4</v>
      </c>
      <c r="K109" s="9" t="s">
        <v>4</v>
      </c>
      <c r="L109" s="9" t="s">
        <v>4</v>
      </c>
      <c r="M109" s="9" t="s">
        <v>4</v>
      </c>
      <c r="N109" s="9" t="s">
        <v>4</v>
      </c>
      <c r="O109" s="9" t="s">
        <v>4</v>
      </c>
      <c r="P109" s="9" t="s">
        <v>4</v>
      </c>
      <c r="Q109" s="9" t="s">
        <v>4</v>
      </c>
      <c r="R109" s="9" t="s">
        <v>4</v>
      </c>
      <c r="S109" s="9" t="s">
        <v>4</v>
      </c>
      <c r="T109" s="9" t="s">
        <v>4</v>
      </c>
      <c r="U109" s="9" t="s">
        <v>4</v>
      </c>
      <c r="V109" s="9" t="s">
        <v>4</v>
      </c>
      <c r="W109" s="9" t="s">
        <v>4</v>
      </c>
      <c r="X109" s="9" t="s">
        <v>4</v>
      </c>
      <c r="Y109" s="9" t="s">
        <v>4</v>
      </c>
      <c r="Z109" s="25" t="s">
        <v>4</v>
      </c>
    </row>
    <row r="110" spans="1:26" x14ac:dyDescent="0.2">
      <c r="A110" s="47"/>
      <c r="B110" s="4" t="s">
        <v>109</v>
      </c>
      <c r="C110" s="9" t="s">
        <v>3</v>
      </c>
      <c r="D110" s="9" t="s">
        <v>3</v>
      </c>
      <c r="E110" s="9" t="s">
        <v>4</v>
      </c>
      <c r="F110" s="9" t="s">
        <v>4</v>
      </c>
      <c r="G110" s="9" t="s">
        <v>4</v>
      </c>
      <c r="H110" s="9" t="s">
        <v>4</v>
      </c>
      <c r="I110" s="9" t="s">
        <v>4</v>
      </c>
      <c r="J110" s="9" t="s">
        <v>4</v>
      </c>
      <c r="K110" s="9" t="s">
        <v>4</v>
      </c>
      <c r="L110" s="9" t="s">
        <v>4</v>
      </c>
      <c r="M110" s="9" t="s">
        <v>4</v>
      </c>
      <c r="N110" s="9" t="s">
        <v>4</v>
      </c>
      <c r="O110" s="9" t="s">
        <v>4</v>
      </c>
      <c r="P110" s="9" t="s">
        <v>4</v>
      </c>
      <c r="Q110" s="9" t="s">
        <v>4</v>
      </c>
      <c r="R110" s="9" t="s">
        <v>4</v>
      </c>
      <c r="S110" s="9" t="s">
        <v>4</v>
      </c>
      <c r="T110" s="9" t="s">
        <v>4</v>
      </c>
      <c r="U110" s="9" t="s">
        <v>4</v>
      </c>
      <c r="V110" s="9" t="s">
        <v>4</v>
      </c>
      <c r="W110" s="9" t="s">
        <v>4</v>
      </c>
      <c r="X110" s="9" t="s">
        <v>4</v>
      </c>
      <c r="Y110" s="9" t="s">
        <v>4</v>
      </c>
      <c r="Z110" s="25" t="s">
        <v>4</v>
      </c>
    </row>
    <row r="111" spans="1:26" x14ac:dyDescent="0.2">
      <c r="A111" s="47"/>
      <c r="B111" s="4" t="s">
        <v>110</v>
      </c>
      <c r="C111" s="9" t="s">
        <v>3</v>
      </c>
      <c r="D111" s="9" t="s">
        <v>3</v>
      </c>
      <c r="E111" s="9" t="s">
        <v>4</v>
      </c>
      <c r="F111" s="9" t="s">
        <v>4</v>
      </c>
      <c r="G111" s="9" t="s">
        <v>4</v>
      </c>
      <c r="H111" s="9" t="s">
        <v>4</v>
      </c>
      <c r="I111" s="9" t="s">
        <v>4</v>
      </c>
      <c r="J111" s="9" t="s">
        <v>4</v>
      </c>
      <c r="K111" s="9" t="s">
        <v>4</v>
      </c>
      <c r="L111" s="9" t="s">
        <v>4</v>
      </c>
      <c r="M111" s="9" t="s">
        <v>4</v>
      </c>
      <c r="N111" s="9" t="s">
        <v>4</v>
      </c>
      <c r="O111" s="9" t="s">
        <v>4</v>
      </c>
      <c r="P111" s="9" t="s">
        <v>4</v>
      </c>
      <c r="Q111" s="9" t="s">
        <v>4</v>
      </c>
      <c r="R111" s="9" t="s">
        <v>4</v>
      </c>
      <c r="S111" s="9" t="s">
        <v>4</v>
      </c>
      <c r="T111" s="9" t="s">
        <v>4</v>
      </c>
      <c r="U111" s="9" t="s">
        <v>4</v>
      </c>
      <c r="V111" s="9" t="s">
        <v>4</v>
      </c>
      <c r="W111" s="9" t="s">
        <v>4</v>
      </c>
      <c r="X111" s="9" t="s">
        <v>4</v>
      </c>
      <c r="Y111" s="9" t="s">
        <v>4</v>
      </c>
      <c r="Z111" s="25" t="s">
        <v>4</v>
      </c>
    </row>
    <row r="112" spans="1:26" x14ac:dyDescent="0.2">
      <c r="A112" s="47"/>
      <c r="B112" s="4" t="s">
        <v>111</v>
      </c>
      <c r="C112" s="9" t="s">
        <v>3</v>
      </c>
      <c r="D112" s="9" t="s">
        <v>3</v>
      </c>
      <c r="E112" s="9" t="s">
        <v>4</v>
      </c>
      <c r="F112" s="9" t="s">
        <v>4</v>
      </c>
      <c r="G112" s="9" t="s">
        <v>4</v>
      </c>
      <c r="H112" s="9" t="s">
        <v>4</v>
      </c>
      <c r="I112" s="9" t="s">
        <v>4</v>
      </c>
      <c r="J112" s="9" t="s">
        <v>4</v>
      </c>
      <c r="K112" s="9" t="s">
        <v>4</v>
      </c>
      <c r="L112" s="9" t="s">
        <v>4</v>
      </c>
      <c r="M112" s="9" t="s">
        <v>4</v>
      </c>
      <c r="N112" s="9" t="s">
        <v>4</v>
      </c>
      <c r="O112" s="9" t="s">
        <v>4</v>
      </c>
      <c r="P112" s="9" t="s">
        <v>4</v>
      </c>
      <c r="Q112" s="9" t="s">
        <v>4</v>
      </c>
      <c r="R112" s="9" t="s">
        <v>4</v>
      </c>
      <c r="S112" s="9" t="s">
        <v>4</v>
      </c>
      <c r="T112" s="9" t="s">
        <v>4</v>
      </c>
      <c r="U112" s="9" t="s">
        <v>4</v>
      </c>
      <c r="V112" s="9" t="s">
        <v>4</v>
      </c>
      <c r="W112" s="9" t="s">
        <v>4</v>
      </c>
      <c r="X112" s="9" t="s">
        <v>4</v>
      </c>
      <c r="Y112" s="9" t="s">
        <v>4</v>
      </c>
      <c r="Z112" s="25" t="s">
        <v>4</v>
      </c>
    </row>
    <row r="113" spans="1:26" x14ac:dyDescent="0.2">
      <c r="A113" s="47"/>
      <c r="B113" s="4" t="s">
        <v>112</v>
      </c>
      <c r="C113" s="9" t="s">
        <v>3</v>
      </c>
      <c r="D113" s="9" t="s">
        <v>3</v>
      </c>
      <c r="E113" s="9" t="s">
        <v>4</v>
      </c>
      <c r="F113" s="9" t="s">
        <v>4</v>
      </c>
      <c r="G113" s="9" t="s">
        <v>4</v>
      </c>
      <c r="H113" s="9" t="s">
        <v>4</v>
      </c>
      <c r="I113" s="9" t="s">
        <v>4</v>
      </c>
      <c r="J113" s="9" t="s">
        <v>4</v>
      </c>
      <c r="K113" s="9" t="s">
        <v>4</v>
      </c>
      <c r="L113" s="9" t="s">
        <v>4</v>
      </c>
      <c r="M113" s="9" t="s">
        <v>4</v>
      </c>
      <c r="N113" s="9" t="s">
        <v>4</v>
      </c>
      <c r="O113" s="9" t="s">
        <v>4</v>
      </c>
      <c r="P113" s="9" t="s">
        <v>4</v>
      </c>
      <c r="Q113" s="9" t="s">
        <v>4</v>
      </c>
      <c r="R113" s="9" t="s">
        <v>4</v>
      </c>
      <c r="S113" s="9" t="s">
        <v>4</v>
      </c>
      <c r="T113" s="9" t="s">
        <v>4</v>
      </c>
      <c r="U113" s="9" t="s">
        <v>4</v>
      </c>
      <c r="V113" s="9" t="s">
        <v>4</v>
      </c>
      <c r="W113" s="9" t="s">
        <v>4</v>
      </c>
      <c r="X113" s="9" t="s">
        <v>4</v>
      </c>
      <c r="Y113" s="9" t="s">
        <v>4</v>
      </c>
      <c r="Z113" s="25" t="s">
        <v>4</v>
      </c>
    </row>
    <row r="114" spans="1:26" x14ac:dyDescent="0.2">
      <c r="A114" s="47"/>
      <c r="B114" s="4" t="s">
        <v>5</v>
      </c>
      <c r="C114" s="9" t="s">
        <v>3</v>
      </c>
      <c r="D114" s="9" t="s">
        <v>3</v>
      </c>
      <c r="E114" s="9" t="s">
        <v>4</v>
      </c>
      <c r="F114" s="9" t="s">
        <v>4</v>
      </c>
      <c r="G114" s="9" t="s">
        <v>4</v>
      </c>
      <c r="H114" s="9" t="s">
        <v>4</v>
      </c>
      <c r="I114" s="9" t="s">
        <v>4</v>
      </c>
      <c r="J114" s="9" t="s">
        <v>4</v>
      </c>
      <c r="K114" s="9" t="s">
        <v>4</v>
      </c>
      <c r="L114" s="9" t="s">
        <v>4</v>
      </c>
      <c r="M114" s="9" t="s">
        <v>4</v>
      </c>
      <c r="N114" s="9" t="s">
        <v>4</v>
      </c>
      <c r="O114" s="9" t="s">
        <v>4</v>
      </c>
      <c r="P114" s="9" t="s">
        <v>4</v>
      </c>
      <c r="Q114" s="9" t="s">
        <v>4</v>
      </c>
      <c r="R114" s="9" t="s">
        <v>4</v>
      </c>
      <c r="S114" s="9" t="s">
        <v>4</v>
      </c>
      <c r="T114" s="9" t="s">
        <v>4</v>
      </c>
      <c r="U114" s="9" t="s">
        <v>4</v>
      </c>
      <c r="V114" s="9" t="s">
        <v>4</v>
      </c>
      <c r="W114" s="9" t="s">
        <v>4</v>
      </c>
      <c r="X114" s="9" t="s">
        <v>4</v>
      </c>
      <c r="Y114" s="9" t="s">
        <v>4</v>
      </c>
      <c r="Z114" s="25" t="s">
        <v>4</v>
      </c>
    </row>
    <row r="115" spans="1:26" x14ac:dyDescent="0.2">
      <c r="A115" s="47"/>
      <c r="B115" s="4" t="s">
        <v>113</v>
      </c>
      <c r="C115" s="9" t="s">
        <v>273</v>
      </c>
      <c r="D115" s="9" t="s">
        <v>273</v>
      </c>
      <c r="E115" s="9" t="s">
        <v>4</v>
      </c>
      <c r="F115" s="9" t="s">
        <v>4</v>
      </c>
      <c r="G115" s="9" t="s">
        <v>4</v>
      </c>
      <c r="H115" s="9" t="s">
        <v>4</v>
      </c>
      <c r="I115" s="9" t="s">
        <v>4</v>
      </c>
      <c r="J115" s="9" t="s">
        <v>4</v>
      </c>
      <c r="K115" s="9" t="s">
        <v>4</v>
      </c>
      <c r="L115" s="9" t="s">
        <v>4</v>
      </c>
      <c r="M115" s="9" t="s">
        <v>4</v>
      </c>
      <c r="N115" s="9" t="s">
        <v>4</v>
      </c>
      <c r="O115" s="9" t="s">
        <v>4</v>
      </c>
      <c r="P115" s="9" t="s">
        <v>4</v>
      </c>
      <c r="Q115" s="9" t="s">
        <v>4</v>
      </c>
      <c r="R115" s="9" t="s">
        <v>4</v>
      </c>
      <c r="S115" s="9" t="s">
        <v>4</v>
      </c>
      <c r="T115" s="9" t="s">
        <v>4</v>
      </c>
      <c r="U115" s="9" t="s">
        <v>4</v>
      </c>
      <c r="V115" s="9" t="s">
        <v>4</v>
      </c>
      <c r="W115" s="9" t="s">
        <v>4</v>
      </c>
      <c r="X115" s="9" t="s">
        <v>4</v>
      </c>
      <c r="Y115" s="9" t="s">
        <v>4</v>
      </c>
      <c r="Z115" s="25" t="s">
        <v>4</v>
      </c>
    </row>
    <row r="116" spans="1:26" x14ac:dyDescent="0.2">
      <c r="A116" s="47"/>
      <c r="B116" s="4" t="s">
        <v>114</v>
      </c>
      <c r="C116" s="9" t="s">
        <v>3</v>
      </c>
      <c r="D116" s="9" t="s">
        <v>3</v>
      </c>
      <c r="E116" s="9" t="s">
        <v>4</v>
      </c>
      <c r="F116" s="9" t="s">
        <v>4</v>
      </c>
      <c r="G116" s="9" t="s">
        <v>4</v>
      </c>
      <c r="H116" s="9" t="s">
        <v>4</v>
      </c>
      <c r="I116" s="9" t="s">
        <v>4</v>
      </c>
      <c r="J116" s="9" t="s">
        <v>4</v>
      </c>
      <c r="K116" s="9" t="s">
        <v>4</v>
      </c>
      <c r="L116" s="9" t="s">
        <v>4</v>
      </c>
      <c r="M116" s="9" t="s">
        <v>4</v>
      </c>
      <c r="N116" s="9" t="s">
        <v>4</v>
      </c>
      <c r="O116" s="9" t="s">
        <v>4</v>
      </c>
      <c r="P116" s="9" t="s">
        <v>4</v>
      </c>
      <c r="Q116" s="9" t="s">
        <v>4</v>
      </c>
      <c r="R116" s="9" t="s">
        <v>4</v>
      </c>
      <c r="S116" s="9" t="s">
        <v>4</v>
      </c>
      <c r="T116" s="9" t="s">
        <v>4</v>
      </c>
      <c r="U116" s="9" t="s">
        <v>4</v>
      </c>
      <c r="V116" s="9" t="s">
        <v>4</v>
      </c>
      <c r="W116" s="9" t="s">
        <v>4</v>
      </c>
      <c r="X116" s="9" t="s">
        <v>4</v>
      </c>
      <c r="Y116" s="9" t="s">
        <v>4</v>
      </c>
      <c r="Z116" s="25" t="s">
        <v>4</v>
      </c>
    </row>
    <row r="117" spans="1:26" x14ac:dyDescent="0.2">
      <c r="A117" s="47"/>
      <c r="B117" s="4" t="s">
        <v>115</v>
      </c>
      <c r="C117" s="9" t="s">
        <v>273</v>
      </c>
      <c r="D117" s="9" t="s">
        <v>273</v>
      </c>
      <c r="E117" s="9" t="s">
        <v>4</v>
      </c>
      <c r="F117" s="9" t="s">
        <v>4</v>
      </c>
      <c r="G117" s="9" t="s">
        <v>4</v>
      </c>
      <c r="H117" s="9" t="s">
        <v>4</v>
      </c>
      <c r="I117" s="9" t="s">
        <v>4</v>
      </c>
      <c r="J117" s="9" t="s">
        <v>4</v>
      </c>
      <c r="K117" s="9" t="s">
        <v>4</v>
      </c>
      <c r="L117" s="9" t="s">
        <v>4</v>
      </c>
      <c r="M117" s="9" t="s">
        <v>4</v>
      </c>
      <c r="N117" s="9" t="s">
        <v>4</v>
      </c>
      <c r="O117" s="9" t="s">
        <v>4</v>
      </c>
      <c r="P117" s="9" t="s">
        <v>4</v>
      </c>
      <c r="Q117" s="9" t="s">
        <v>4</v>
      </c>
      <c r="R117" s="9" t="s">
        <v>4</v>
      </c>
      <c r="S117" s="9" t="s">
        <v>4</v>
      </c>
      <c r="T117" s="9" t="s">
        <v>4</v>
      </c>
      <c r="U117" s="9" t="s">
        <v>4</v>
      </c>
      <c r="V117" s="9" t="s">
        <v>4</v>
      </c>
      <c r="W117" s="9" t="s">
        <v>4</v>
      </c>
      <c r="X117" s="9" t="s">
        <v>4</v>
      </c>
      <c r="Y117" s="9" t="s">
        <v>4</v>
      </c>
      <c r="Z117" s="25" t="s">
        <v>4</v>
      </c>
    </row>
    <row r="118" spans="1:26" x14ac:dyDescent="0.2">
      <c r="A118" s="47"/>
      <c r="B118" s="4" t="s">
        <v>116</v>
      </c>
      <c r="C118" s="9" t="s">
        <v>273</v>
      </c>
      <c r="D118" s="9" t="s">
        <v>273</v>
      </c>
      <c r="E118" s="9" t="s">
        <v>4</v>
      </c>
      <c r="F118" s="9" t="s">
        <v>4</v>
      </c>
      <c r="G118" s="9" t="s">
        <v>4</v>
      </c>
      <c r="H118" s="9" t="s">
        <v>4</v>
      </c>
      <c r="I118" s="9" t="s">
        <v>4</v>
      </c>
      <c r="J118" s="9" t="s">
        <v>4</v>
      </c>
      <c r="K118" s="9" t="s">
        <v>4</v>
      </c>
      <c r="L118" s="9" t="s">
        <v>4</v>
      </c>
      <c r="M118" s="9" t="s">
        <v>4</v>
      </c>
      <c r="N118" s="9" t="s">
        <v>4</v>
      </c>
      <c r="O118" s="9" t="s">
        <v>4</v>
      </c>
      <c r="P118" s="9" t="s">
        <v>4</v>
      </c>
      <c r="Q118" s="9" t="s">
        <v>4</v>
      </c>
      <c r="R118" s="9" t="s">
        <v>4</v>
      </c>
      <c r="S118" s="9" t="s">
        <v>4</v>
      </c>
      <c r="T118" s="9" t="s">
        <v>4</v>
      </c>
      <c r="U118" s="9" t="s">
        <v>4</v>
      </c>
      <c r="V118" s="9" t="s">
        <v>4</v>
      </c>
      <c r="W118" s="9" t="s">
        <v>4</v>
      </c>
      <c r="X118" s="9" t="s">
        <v>4</v>
      </c>
      <c r="Y118" s="9" t="s">
        <v>4</v>
      </c>
      <c r="Z118" s="25" t="s">
        <v>4</v>
      </c>
    </row>
    <row r="119" spans="1:26" x14ac:dyDescent="0.2">
      <c r="A119" s="47"/>
      <c r="B119" s="4" t="s">
        <v>117</v>
      </c>
      <c r="C119" s="9" t="s">
        <v>4</v>
      </c>
      <c r="D119" s="9" t="s">
        <v>4</v>
      </c>
      <c r="E119" s="9" t="s">
        <v>4</v>
      </c>
      <c r="F119" s="9" t="s">
        <v>4</v>
      </c>
      <c r="G119" s="9" t="s">
        <v>4</v>
      </c>
      <c r="H119" s="9" t="s">
        <v>4</v>
      </c>
      <c r="I119" s="9" t="s">
        <v>4</v>
      </c>
      <c r="J119" s="9" t="s">
        <v>4</v>
      </c>
      <c r="K119" s="9" t="s">
        <v>4</v>
      </c>
      <c r="L119" s="9" t="s">
        <v>4</v>
      </c>
      <c r="M119" s="9" t="s">
        <v>4</v>
      </c>
      <c r="N119" s="9" t="s">
        <v>4</v>
      </c>
      <c r="O119" s="9" t="s">
        <v>4</v>
      </c>
      <c r="P119" s="9" t="s">
        <v>4</v>
      </c>
      <c r="Q119" s="9" t="s">
        <v>4</v>
      </c>
      <c r="R119" s="9" t="s">
        <v>4</v>
      </c>
      <c r="S119" s="9" t="s">
        <v>4</v>
      </c>
      <c r="T119" s="9" t="s">
        <v>4</v>
      </c>
      <c r="U119" s="9" t="s">
        <v>4</v>
      </c>
      <c r="V119" s="9" t="s">
        <v>4</v>
      </c>
      <c r="W119" s="9" t="s">
        <v>4</v>
      </c>
      <c r="X119" s="9" t="s">
        <v>4</v>
      </c>
      <c r="Y119" s="9" t="s">
        <v>4</v>
      </c>
      <c r="Z119" s="25" t="s">
        <v>4</v>
      </c>
    </row>
    <row r="120" spans="1:26" x14ac:dyDescent="0.2">
      <c r="A120" s="47"/>
      <c r="B120" s="4" t="s">
        <v>118</v>
      </c>
      <c r="C120" s="9" t="s">
        <v>4</v>
      </c>
      <c r="D120" s="9" t="s">
        <v>4</v>
      </c>
      <c r="E120" s="9" t="s">
        <v>4</v>
      </c>
      <c r="F120" s="9" t="s">
        <v>4</v>
      </c>
      <c r="G120" s="9" t="s">
        <v>4</v>
      </c>
      <c r="H120" s="9" t="s">
        <v>4</v>
      </c>
      <c r="I120" s="9" t="s">
        <v>4</v>
      </c>
      <c r="J120" s="9" t="s">
        <v>4</v>
      </c>
      <c r="K120" s="9" t="s">
        <v>4</v>
      </c>
      <c r="L120" s="9" t="s">
        <v>4</v>
      </c>
      <c r="M120" s="9" t="s">
        <v>4</v>
      </c>
      <c r="N120" s="9" t="s">
        <v>4</v>
      </c>
      <c r="O120" s="9" t="s">
        <v>4</v>
      </c>
      <c r="P120" s="9" t="s">
        <v>4</v>
      </c>
      <c r="Q120" s="9" t="s">
        <v>4</v>
      </c>
      <c r="R120" s="9" t="s">
        <v>4</v>
      </c>
      <c r="S120" s="9" t="s">
        <v>4</v>
      </c>
      <c r="T120" s="9" t="s">
        <v>4</v>
      </c>
      <c r="U120" s="9" t="s">
        <v>4</v>
      </c>
      <c r="V120" s="9" t="s">
        <v>4</v>
      </c>
      <c r="W120" s="9" t="s">
        <v>4</v>
      </c>
      <c r="X120" s="9" t="s">
        <v>4</v>
      </c>
      <c r="Y120" s="9" t="s">
        <v>4</v>
      </c>
      <c r="Z120" s="25" t="s">
        <v>4</v>
      </c>
    </row>
    <row r="121" spans="1:26" ht="15.75" customHeight="1" thickBot="1" x14ac:dyDescent="0.25">
      <c r="A121" s="48"/>
      <c r="B121" s="37" t="s">
        <v>119</v>
      </c>
      <c r="C121" s="27" t="s">
        <v>4</v>
      </c>
      <c r="D121" s="27" t="s">
        <v>4</v>
      </c>
      <c r="E121" s="27" t="s">
        <v>4</v>
      </c>
      <c r="F121" s="27" t="s">
        <v>4</v>
      </c>
      <c r="G121" s="27" t="s">
        <v>4</v>
      </c>
      <c r="H121" s="27" t="s">
        <v>4</v>
      </c>
      <c r="I121" s="27" t="s">
        <v>4</v>
      </c>
      <c r="J121" s="27" t="s">
        <v>4</v>
      </c>
      <c r="K121" s="27" t="s">
        <v>4</v>
      </c>
      <c r="L121" s="27" t="s">
        <v>4</v>
      </c>
      <c r="M121" s="27" t="s">
        <v>4</v>
      </c>
      <c r="N121" s="27" t="s">
        <v>4</v>
      </c>
      <c r="O121" s="27" t="s">
        <v>4</v>
      </c>
      <c r="P121" s="27" t="s">
        <v>4</v>
      </c>
      <c r="Q121" s="27" t="s">
        <v>4</v>
      </c>
      <c r="R121" s="27" t="s">
        <v>4</v>
      </c>
      <c r="S121" s="27" t="s">
        <v>4</v>
      </c>
      <c r="T121" s="27" t="s">
        <v>4</v>
      </c>
      <c r="U121" s="27" t="s">
        <v>4</v>
      </c>
      <c r="V121" s="27" t="s">
        <v>4</v>
      </c>
      <c r="W121" s="27" t="s">
        <v>4</v>
      </c>
      <c r="X121" s="27" t="s">
        <v>4</v>
      </c>
      <c r="Y121" s="27" t="s">
        <v>4</v>
      </c>
      <c r="Z121" s="28" t="s">
        <v>4</v>
      </c>
    </row>
    <row r="122" spans="1:26" x14ac:dyDescent="0.2">
      <c r="A122" s="46" t="s">
        <v>120</v>
      </c>
      <c r="B122" s="36" t="s">
        <v>121</v>
      </c>
      <c r="C122" s="23" t="s">
        <v>3</v>
      </c>
      <c r="D122" s="23" t="s">
        <v>3</v>
      </c>
      <c r="E122" s="23" t="s">
        <v>4</v>
      </c>
      <c r="F122" s="23" t="s">
        <v>4</v>
      </c>
      <c r="G122" s="23" t="s">
        <v>4</v>
      </c>
      <c r="H122" s="23" t="s">
        <v>4</v>
      </c>
      <c r="I122" s="23" t="s">
        <v>4</v>
      </c>
      <c r="J122" s="23" t="s">
        <v>4</v>
      </c>
      <c r="K122" s="23" t="s">
        <v>4</v>
      </c>
      <c r="L122" s="23" t="s">
        <v>4</v>
      </c>
      <c r="M122" s="23" t="s">
        <v>4</v>
      </c>
      <c r="N122" s="23" t="s">
        <v>4</v>
      </c>
      <c r="O122" s="23" t="s">
        <v>4</v>
      </c>
      <c r="P122" s="23" t="s">
        <v>4</v>
      </c>
      <c r="Q122" s="23" t="s">
        <v>4</v>
      </c>
      <c r="R122" s="23" t="s">
        <v>4</v>
      </c>
      <c r="S122" s="23" t="s">
        <v>4</v>
      </c>
      <c r="T122" s="23" t="s">
        <v>4</v>
      </c>
      <c r="U122" s="23" t="s">
        <v>4</v>
      </c>
      <c r="V122" s="23" t="s">
        <v>4</v>
      </c>
      <c r="W122" s="23" t="s">
        <v>4</v>
      </c>
      <c r="X122" s="23" t="s">
        <v>4</v>
      </c>
      <c r="Y122" s="23" t="s">
        <v>4</v>
      </c>
      <c r="Z122" s="24" t="s">
        <v>4</v>
      </c>
    </row>
    <row r="123" spans="1:26" x14ac:dyDescent="0.2">
      <c r="A123" s="47"/>
      <c r="B123" s="4" t="s">
        <v>122</v>
      </c>
      <c r="C123" s="9" t="s">
        <v>273</v>
      </c>
      <c r="D123" s="9" t="s">
        <v>273</v>
      </c>
      <c r="E123" s="9" t="s">
        <v>4</v>
      </c>
      <c r="F123" s="9" t="s">
        <v>4</v>
      </c>
      <c r="G123" s="9" t="s">
        <v>4</v>
      </c>
      <c r="H123" s="9" t="s">
        <v>4</v>
      </c>
      <c r="I123" s="9" t="s">
        <v>4</v>
      </c>
      <c r="J123" s="9" t="s">
        <v>4</v>
      </c>
      <c r="K123" s="9" t="s">
        <v>4</v>
      </c>
      <c r="L123" s="9" t="s">
        <v>4</v>
      </c>
      <c r="M123" s="9" t="s">
        <v>4</v>
      </c>
      <c r="N123" s="9" t="s">
        <v>4</v>
      </c>
      <c r="O123" s="9" t="s">
        <v>4</v>
      </c>
      <c r="P123" s="9" t="s">
        <v>4</v>
      </c>
      <c r="Q123" s="9" t="s">
        <v>4</v>
      </c>
      <c r="R123" s="9" t="s">
        <v>4</v>
      </c>
      <c r="S123" s="9" t="s">
        <v>4</v>
      </c>
      <c r="T123" s="9" t="s">
        <v>4</v>
      </c>
      <c r="U123" s="9" t="s">
        <v>4</v>
      </c>
      <c r="V123" s="9" t="s">
        <v>4</v>
      </c>
      <c r="W123" s="9" t="s">
        <v>4</v>
      </c>
      <c r="X123" s="9" t="s">
        <v>4</v>
      </c>
      <c r="Y123" s="9" t="s">
        <v>4</v>
      </c>
      <c r="Z123" s="25" t="s">
        <v>4</v>
      </c>
    </row>
    <row r="124" spans="1:26" x14ac:dyDescent="0.2">
      <c r="A124" s="47"/>
      <c r="B124" s="4" t="s">
        <v>123</v>
      </c>
      <c r="C124" s="9" t="s">
        <v>273</v>
      </c>
      <c r="D124" s="9" t="s">
        <v>273</v>
      </c>
      <c r="E124" s="9" t="s">
        <v>4</v>
      </c>
      <c r="F124" s="9" t="s">
        <v>4</v>
      </c>
      <c r="G124" s="9" t="s">
        <v>4</v>
      </c>
      <c r="H124" s="9" t="s">
        <v>4</v>
      </c>
      <c r="I124" s="9" t="s">
        <v>4</v>
      </c>
      <c r="J124" s="9" t="s">
        <v>4</v>
      </c>
      <c r="K124" s="9" t="s">
        <v>4</v>
      </c>
      <c r="L124" s="9" t="s">
        <v>4</v>
      </c>
      <c r="M124" s="9" t="s">
        <v>4</v>
      </c>
      <c r="N124" s="9" t="s">
        <v>4</v>
      </c>
      <c r="O124" s="9" t="s">
        <v>4</v>
      </c>
      <c r="P124" s="9" t="s">
        <v>4</v>
      </c>
      <c r="Q124" s="9" t="s">
        <v>4</v>
      </c>
      <c r="R124" s="9" t="s">
        <v>4</v>
      </c>
      <c r="S124" s="9" t="s">
        <v>4</v>
      </c>
      <c r="T124" s="9" t="s">
        <v>4</v>
      </c>
      <c r="U124" s="9" t="s">
        <v>4</v>
      </c>
      <c r="V124" s="9" t="s">
        <v>4</v>
      </c>
      <c r="W124" s="9" t="s">
        <v>4</v>
      </c>
      <c r="X124" s="9" t="s">
        <v>4</v>
      </c>
      <c r="Y124" s="9" t="s">
        <v>4</v>
      </c>
      <c r="Z124" s="25" t="s">
        <v>4</v>
      </c>
    </row>
    <row r="125" spans="1:26" x14ac:dyDescent="0.2">
      <c r="A125" s="47"/>
      <c r="B125" s="4" t="s">
        <v>124</v>
      </c>
      <c r="C125" s="9" t="s">
        <v>273</v>
      </c>
      <c r="D125" s="9" t="s">
        <v>273</v>
      </c>
      <c r="E125" s="9" t="s">
        <v>4</v>
      </c>
      <c r="F125" s="9" t="s">
        <v>4</v>
      </c>
      <c r="G125" s="9" t="s">
        <v>4</v>
      </c>
      <c r="H125" s="9" t="s">
        <v>4</v>
      </c>
      <c r="I125" s="9" t="s">
        <v>4</v>
      </c>
      <c r="J125" s="9" t="s">
        <v>4</v>
      </c>
      <c r="K125" s="9" t="s">
        <v>4</v>
      </c>
      <c r="L125" s="9" t="s">
        <v>4</v>
      </c>
      <c r="M125" s="9" t="s">
        <v>4</v>
      </c>
      <c r="N125" s="9" t="s">
        <v>4</v>
      </c>
      <c r="O125" s="9" t="s">
        <v>4</v>
      </c>
      <c r="P125" s="9" t="s">
        <v>4</v>
      </c>
      <c r="Q125" s="9" t="s">
        <v>4</v>
      </c>
      <c r="R125" s="9" t="s">
        <v>4</v>
      </c>
      <c r="S125" s="9" t="s">
        <v>4</v>
      </c>
      <c r="T125" s="9" t="s">
        <v>4</v>
      </c>
      <c r="U125" s="9" t="s">
        <v>4</v>
      </c>
      <c r="V125" s="9" t="s">
        <v>4</v>
      </c>
      <c r="W125" s="9" t="s">
        <v>4</v>
      </c>
      <c r="X125" s="9" t="s">
        <v>4</v>
      </c>
      <c r="Y125" s="9" t="s">
        <v>4</v>
      </c>
      <c r="Z125" s="25" t="s">
        <v>4</v>
      </c>
    </row>
    <row r="126" spans="1:26" x14ac:dyDescent="0.2">
      <c r="A126" s="47"/>
      <c r="B126" s="4" t="s">
        <v>125</v>
      </c>
      <c r="C126" s="9" t="s">
        <v>273</v>
      </c>
      <c r="D126" s="9" t="s">
        <v>273</v>
      </c>
      <c r="E126" s="9" t="s">
        <v>4</v>
      </c>
      <c r="F126" s="9" t="s">
        <v>4</v>
      </c>
      <c r="G126" s="9" t="s">
        <v>4</v>
      </c>
      <c r="H126" s="9" t="s">
        <v>4</v>
      </c>
      <c r="I126" s="9" t="s">
        <v>4</v>
      </c>
      <c r="J126" s="9" t="s">
        <v>4</v>
      </c>
      <c r="K126" s="9" t="s">
        <v>4</v>
      </c>
      <c r="L126" s="9" t="s">
        <v>4</v>
      </c>
      <c r="M126" s="9" t="s">
        <v>4</v>
      </c>
      <c r="N126" s="9" t="s">
        <v>4</v>
      </c>
      <c r="O126" s="9" t="s">
        <v>4</v>
      </c>
      <c r="P126" s="9" t="s">
        <v>4</v>
      </c>
      <c r="Q126" s="9" t="s">
        <v>4</v>
      </c>
      <c r="R126" s="9" t="s">
        <v>4</v>
      </c>
      <c r="S126" s="9" t="s">
        <v>4</v>
      </c>
      <c r="T126" s="9" t="s">
        <v>4</v>
      </c>
      <c r="U126" s="9" t="s">
        <v>4</v>
      </c>
      <c r="V126" s="9" t="s">
        <v>4</v>
      </c>
      <c r="W126" s="9" t="s">
        <v>4</v>
      </c>
      <c r="X126" s="9" t="s">
        <v>4</v>
      </c>
      <c r="Y126" s="9" t="s">
        <v>4</v>
      </c>
      <c r="Z126" s="25" t="s">
        <v>4</v>
      </c>
    </row>
    <row r="127" spans="1:26" x14ac:dyDescent="0.2">
      <c r="A127" s="47"/>
      <c r="B127" s="4" t="s">
        <v>126</v>
      </c>
      <c r="C127" s="9" t="s">
        <v>3</v>
      </c>
      <c r="D127" s="9" t="s">
        <v>3</v>
      </c>
      <c r="E127" s="9" t="s">
        <v>4</v>
      </c>
      <c r="F127" s="9" t="s">
        <v>4</v>
      </c>
      <c r="G127" s="9" t="s">
        <v>4</v>
      </c>
      <c r="H127" s="9" t="s">
        <v>4</v>
      </c>
      <c r="I127" s="9" t="s">
        <v>4</v>
      </c>
      <c r="J127" s="9" t="s">
        <v>4</v>
      </c>
      <c r="K127" s="9" t="s">
        <v>4</v>
      </c>
      <c r="L127" s="9" t="s">
        <v>4</v>
      </c>
      <c r="M127" s="9" t="s">
        <v>4</v>
      </c>
      <c r="N127" s="9" t="s">
        <v>4</v>
      </c>
      <c r="O127" s="9" t="s">
        <v>4</v>
      </c>
      <c r="P127" s="9" t="s">
        <v>4</v>
      </c>
      <c r="Q127" s="9" t="s">
        <v>4</v>
      </c>
      <c r="R127" s="9" t="s">
        <v>4</v>
      </c>
      <c r="S127" s="9" t="s">
        <v>4</v>
      </c>
      <c r="T127" s="9" t="s">
        <v>4</v>
      </c>
      <c r="U127" s="9" t="s">
        <v>4</v>
      </c>
      <c r="V127" s="9" t="s">
        <v>4</v>
      </c>
      <c r="W127" s="9" t="s">
        <v>4</v>
      </c>
      <c r="X127" s="9" t="s">
        <v>4</v>
      </c>
      <c r="Y127" s="9" t="s">
        <v>4</v>
      </c>
      <c r="Z127" s="25" t="s">
        <v>4</v>
      </c>
    </row>
    <row r="128" spans="1:26" x14ac:dyDescent="0.2">
      <c r="A128" s="47"/>
      <c r="B128" s="4" t="s">
        <v>127</v>
      </c>
      <c r="C128" s="9" t="s">
        <v>273</v>
      </c>
      <c r="D128" s="9" t="s">
        <v>273</v>
      </c>
      <c r="E128" s="9" t="s">
        <v>4</v>
      </c>
      <c r="F128" s="9" t="s">
        <v>4</v>
      </c>
      <c r="G128" s="9" t="s">
        <v>4</v>
      </c>
      <c r="H128" s="9" t="s">
        <v>4</v>
      </c>
      <c r="I128" s="9" t="s">
        <v>4</v>
      </c>
      <c r="J128" s="9" t="s">
        <v>4</v>
      </c>
      <c r="K128" s="9" t="s">
        <v>4</v>
      </c>
      <c r="L128" s="9" t="s">
        <v>4</v>
      </c>
      <c r="M128" s="9" t="s">
        <v>4</v>
      </c>
      <c r="N128" s="9" t="s">
        <v>4</v>
      </c>
      <c r="O128" s="9" t="s">
        <v>4</v>
      </c>
      <c r="P128" s="9" t="s">
        <v>4</v>
      </c>
      <c r="Q128" s="9" t="s">
        <v>4</v>
      </c>
      <c r="R128" s="9" t="s">
        <v>4</v>
      </c>
      <c r="S128" s="9" t="s">
        <v>4</v>
      </c>
      <c r="T128" s="9" t="s">
        <v>4</v>
      </c>
      <c r="U128" s="9" t="s">
        <v>4</v>
      </c>
      <c r="V128" s="9" t="s">
        <v>4</v>
      </c>
      <c r="W128" s="9" t="s">
        <v>4</v>
      </c>
      <c r="X128" s="9" t="s">
        <v>4</v>
      </c>
      <c r="Y128" s="9" t="s">
        <v>4</v>
      </c>
      <c r="Z128" s="25" t="s">
        <v>4</v>
      </c>
    </row>
    <row r="129" spans="1:26" x14ac:dyDescent="0.2">
      <c r="A129" s="47"/>
      <c r="B129" s="4" t="s">
        <v>128</v>
      </c>
      <c r="C129" s="9" t="s">
        <v>3</v>
      </c>
      <c r="D129" s="9" t="s">
        <v>3</v>
      </c>
      <c r="E129" s="9" t="s">
        <v>4</v>
      </c>
      <c r="F129" s="9" t="s">
        <v>4</v>
      </c>
      <c r="G129" s="9" t="s">
        <v>4</v>
      </c>
      <c r="H129" s="9" t="s">
        <v>4</v>
      </c>
      <c r="I129" s="9" t="s">
        <v>4</v>
      </c>
      <c r="J129" s="9" t="s">
        <v>4</v>
      </c>
      <c r="K129" s="9" t="s">
        <v>4</v>
      </c>
      <c r="L129" s="9" t="s">
        <v>4</v>
      </c>
      <c r="M129" s="9" t="s">
        <v>4</v>
      </c>
      <c r="N129" s="9" t="s">
        <v>4</v>
      </c>
      <c r="O129" s="9" t="s">
        <v>4</v>
      </c>
      <c r="P129" s="9" t="s">
        <v>4</v>
      </c>
      <c r="Q129" s="9" t="s">
        <v>4</v>
      </c>
      <c r="R129" s="9" t="s">
        <v>4</v>
      </c>
      <c r="S129" s="9" t="s">
        <v>4</v>
      </c>
      <c r="T129" s="9" t="s">
        <v>4</v>
      </c>
      <c r="U129" s="9" t="s">
        <v>4</v>
      </c>
      <c r="V129" s="9" t="s">
        <v>4</v>
      </c>
      <c r="W129" s="9" t="s">
        <v>4</v>
      </c>
      <c r="X129" s="9" t="s">
        <v>4</v>
      </c>
      <c r="Y129" s="9" t="s">
        <v>4</v>
      </c>
      <c r="Z129" s="25" t="s">
        <v>4</v>
      </c>
    </row>
    <row r="130" spans="1:26" x14ac:dyDescent="0.2">
      <c r="A130" s="47"/>
      <c r="B130" s="4" t="s">
        <v>129</v>
      </c>
      <c r="C130" s="9" t="s">
        <v>273</v>
      </c>
      <c r="D130" s="9" t="s">
        <v>273</v>
      </c>
      <c r="E130" s="9" t="s">
        <v>4</v>
      </c>
      <c r="F130" s="9" t="s">
        <v>4</v>
      </c>
      <c r="G130" s="9" t="s">
        <v>4</v>
      </c>
      <c r="H130" s="9" t="s">
        <v>4</v>
      </c>
      <c r="I130" s="9" t="s">
        <v>4</v>
      </c>
      <c r="J130" s="9" t="s">
        <v>4</v>
      </c>
      <c r="K130" s="9" t="s">
        <v>4</v>
      </c>
      <c r="L130" s="9" t="s">
        <v>4</v>
      </c>
      <c r="M130" s="9" t="s">
        <v>4</v>
      </c>
      <c r="N130" s="9" t="s">
        <v>4</v>
      </c>
      <c r="O130" s="9" t="s">
        <v>4</v>
      </c>
      <c r="P130" s="9" t="s">
        <v>4</v>
      </c>
      <c r="Q130" s="9" t="s">
        <v>4</v>
      </c>
      <c r="R130" s="9" t="s">
        <v>4</v>
      </c>
      <c r="S130" s="9" t="s">
        <v>4</v>
      </c>
      <c r="T130" s="9" t="s">
        <v>4</v>
      </c>
      <c r="U130" s="9" t="s">
        <v>4</v>
      </c>
      <c r="V130" s="9" t="s">
        <v>4</v>
      </c>
      <c r="W130" s="9" t="s">
        <v>4</v>
      </c>
      <c r="X130" s="9" t="s">
        <v>4</v>
      </c>
      <c r="Y130" s="9" t="s">
        <v>4</v>
      </c>
      <c r="Z130" s="25" t="s">
        <v>4</v>
      </c>
    </row>
    <row r="131" spans="1:26" x14ac:dyDescent="0.2">
      <c r="A131" s="47"/>
      <c r="B131" s="4" t="s">
        <v>130</v>
      </c>
      <c r="C131" s="9" t="s">
        <v>273</v>
      </c>
      <c r="D131" s="9" t="s">
        <v>273</v>
      </c>
      <c r="E131" s="9" t="s">
        <v>4</v>
      </c>
      <c r="F131" s="9" t="s">
        <v>4</v>
      </c>
      <c r="G131" s="9" t="s">
        <v>4</v>
      </c>
      <c r="H131" s="9" t="s">
        <v>4</v>
      </c>
      <c r="I131" s="9" t="s">
        <v>4</v>
      </c>
      <c r="J131" s="9" t="s">
        <v>4</v>
      </c>
      <c r="K131" s="9" t="s">
        <v>4</v>
      </c>
      <c r="L131" s="9" t="s">
        <v>4</v>
      </c>
      <c r="M131" s="9" t="s">
        <v>4</v>
      </c>
      <c r="N131" s="9" t="s">
        <v>4</v>
      </c>
      <c r="O131" s="9" t="s">
        <v>4</v>
      </c>
      <c r="P131" s="9" t="s">
        <v>4</v>
      </c>
      <c r="Q131" s="9" t="s">
        <v>4</v>
      </c>
      <c r="R131" s="9" t="s">
        <v>4</v>
      </c>
      <c r="S131" s="9" t="s">
        <v>4</v>
      </c>
      <c r="T131" s="9" t="s">
        <v>4</v>
      </c>
      <c r="U131" s="9" t="s">
        <v>4</v>
      </c>
      <c r="V131" s="9" t="s">
        <v>4</v>
      </c>
      <c r="W131" s="9" t="s">
        <v>4</v>
      </c>
      <c r="X131" s="9" t="s">
        <v>4</v>
      </c>
      <c r="Y131" s="9" t="s">
        <v>4</v>
      </c>
      <c r="Z131" s="25" t="s">
        <v>4</v>
      </c>
    </row>
    <row r="132" spans="1:26" x14ac:dyDescent="0.2">
      <c r="A132" s="47"/>
      <c r="B132" s="4" t="s">
        <v>131</v>
      </c>
      <c r="C132" s="9" t="s">
        <v>3</v>
      </c>
      <c r="D132" s="9" t="s">
        <v>3</v>
      </c>
      <c r="E132" s="9" t="s">
        <v>4</v>
      </c>
      <c r="F132" s="9" t="s">
        <v>4</v>
      </c>
      <c r="G132" s="9" t="s">
        <v>4</v>
      </c>
      <c r="H132" s="9" t="s">
        <v>4</v>
      </c>
      <c r="I132" s="9" t="s">
        <v>4</v>
      </c>
      <c r="J132" s="9" t="s">
        <v>4</v>
      </c>
      <c r="K132" s="9" t="s">
        <v>4</v>
      </c>
      <c r="L132" s="9" t="s">
        <v>4</v>
      </c>
      <c r="M132" s="9" t="s">
        <v>4</v>
      </c>
      <c r="N132" s="9" t="s">
        <v>4</v>
      </c>
      <c r="O132" s="9" t="s">
        <v>4</v>
      </c>
      <c r="P132" s="9" t="s">
        <v>4</v>
      </c>
      <c r="Q132" s="9" t="s">
        <v>4</v>
      </c>
      <c r="R132" s="9" t="s">
        <v>4</v>
      </c>
      <c r="S132" s="9" t="s">
        <v>4</v>
      </c>
      <c r="T132" s="9" t="s">
        <v>4</v>
      </c>
      <c r="U132" s="9" t="s">
        <v>4</v>
      </c>
      <c r="V132" s="9" t="s">
        <v>4</v>
      </c>
      <c r="W132" s="9" t="s">
        <v>4</v>
      </c>
      <c r="X132" s="9" t="s">
        <v>4</v>
      </c>
      <c r="Y132" s="9" t="s">
        <v>4</v>
      </c>
      <c r="Z132" s="25" t="s">
        <v>4</v>
      </c>
    </row>
    <row r="133" spans="1:26" x14ac:dyDescent="0.2">
      <c r="A133" s="47"/>
      <c r="B133" s="4" t="s">
        <v>132</v>
      </c>
      <c r="C133" s="9" t="s">
        <v>273</v>
      </c>
      <c r="D133" s="9" t="s">
        <v>273</v>
      </c>
      <c r="E133" s="9" t="s">
        <v>4</v>
      </c>
      <c r="F133" s="9" t="s">
        <v>4</v>
      </c>
      <c r="G133" s="9" t="s">
        <v>4</v>
      </c>
      <c r="H133" s="9" t="s">
        <v>4</v>
      </c>
      <c r="I133" s="9" t="s">
        <v>4</v>
      </c>
      <c r="J133" s="9" t="s">
        <v>4</v>
      </c>
      <c r="K133" s="9" t="s">
        <v>4</v>
      </c>
      <c r="L133" s="9" t="s">
        <v>4</v>
      </c>
      <c r="M133" s="9" t="s">
        <v>4</v>
      </c>
      <c r="N133" s="9" t="s">
        <v>4</v>
      </c>
      <c r="O133" s="9" t="s">
        <v>4</v>
      </c>
      <c r="P133" s="9" t="s">
        <v>4</v>
      </c>
      <c r="Q133" s="9" t="s">
        <v>4</v>
      </c>
      <c r="R133" s="9" t="s">
        <v>4</v>
      </c>
      <c r="S133" s="9" t="s">
        <v>4</v>
      </c>
      <c r="T133" s="9" t="s">
        <v>4</v>
      </c>
      <c r="U133" s="9" t="s">
        <v>4</v>
      </c>
      <c r="V133" s="9" t="s">
        <v>4</v>
      </c>
      <c r="W133" s="9" t="s">
        <v>4</v>
      </c>
      <c r="X133" s="9" t="s">
        <v>4</v>
      </c>
      <c r="Y133" s="9" t="s">
        <v>4</v>
      </c>
      <c r="Z133" s="25" t="s">
        <v>4</v>
      </c>
    </row>
    <row r="134" spans="1:26" x14ac:dyDescent="0.2">
      <c r="A134" s="47"/>
      <c r="B134" s="4" t="s">
        <v>133</v>
      </c>
      <c r="C134" s="9" t="s">
        <v>3</v>
      </c>
      <c r="D134" s="9" t="s">
        <v>3</v>
      </c>
      <c r="E134" s="9" t="s">
        <v>4</v>
      </c>
      <c r="F134" s="9" t="s">
        <v>4</v>
      </c>
      <c r="G134" s="9" t="s">
        <v>4</v>
      </c>
      <c r="H134" s="9" t="s">
        <v>4</v>
      </c>
      <c r="I134" s="9" t="s">
        <v>4</v>
      </c>
      <c r="J134" s="9" t="s">
        <v>4</v>
      </c>
      <c r="K134" s="9" t="s">
        <v>4</v>
      </c>
      <c r="L134" s="9" t="s">
        <v>4</v>
      </c>
      <c r="M134" s="9" t="s">
        <v>4</v>
      </c>
      <c r="N134" s="9" t="s">
        <v>4</v>
      </c>
      <c r="O134" s="9" t="s">
        <v>4</v>
      </c>
      <c r="P134" s="9" t="s">
        <v>4</v>
      </c>
      <c r="Q134" s="9" t="s">
        <v>4</v>
      </c>
      <c r="R134" s="9" t="s">
        <v>4</v>
      </c>
      <c r="S134" s="9" t="s">
        <v>4</v>
      </c>
      <c r="T134" s="9" t="s">
        <v>4</v>
      </c>
      <c r="U134" s="9" t="s">
        <v>4</v>
      </c>
      <c r="V134" s="9" t="s">
        <v>4</v>
      </c>
      <c r="W134" s="9" t="s">
        <v>4</v>
      </c>
      <c r="X134" s="9" t="s">
        <v>4</v>
      </c>
      <c r="Y134" s="9" t="s">
        <v>4</v>
      </c>
      <c r="Z134" s="25" t="s">
        <v>4</v>
      </c>
    </row>
    <row r="135" spans="1:26" x14ac:dyDescent="0.2">
      <c r="A135" s="47"/>
      <c r="B135" s="4" t="s">
        <v>134</v>
      </c>
      <c r="C135" s="9" t="s">
        <v>4</v>
      </c>
      <c r="D135" s="9" t="s">
        <v>4</v>
      </c>
      <c r="E135" s="9" t="s">
        <v>4</v>
      </c>
      <c r="F135" s="9" t="s">
        <v>4</v>
      </c>
      <c r="G135" s="9" t="s">
        <v>4</v>
      </c>
      <c r="H135" s="9" t="s">
        <v>4</v>
      </c>
      <c r="I135" s="9" t="s">
        <v>4</v>
      </c>
      <c r="J135" s="9" t="s">
        <v>4</v>
      </c>
      <c r="K135" s="9" t="s">
        <v>4</v>
      </c>
      <c r="L135" s="9" t="s">
        <v>4</v>
      </c>
      <c r="M135" s="9" t="s">
        <v>4</v>
      </c>
      <c r="N135" s="9" t="s">
        <v>4</v>
      </c>
      <c r="O135" s="9" t="s">
        <v>4</v>
      </c>
      <c r="P135" s="9" t="s">
        <v>4</v>
      </c>
      <c r="Q135" s="9" t="s">
        <v>4</v>
      </c>
      <c r="R135" s="9" t="s">
        <v>4</v>
      </c>
      <c r="S135" s="9" t="s">
        <v>4</v>
      </c>
      <c r="T135" s="9" t="s">
        <v>4</v>
      </c>
      <c r="U135" s="9" t="s">
        <v>4</v>
      </c>
      <c r="V135" s="9" t="s">
        <v>4</v>
      </c>
      <c r="W135" s="9" t="s">
        <v>4</v>
      </c>
      <c r="X135" s="9" t="s">
        <v>4</v>
      </c>
      <c r="Y135" s="9" t="s">
        <v>4</v>
      </c>
      <c r="Z135" s="25" t="s">
        <v>4</v>
      </c>
    </row>
    <row r="136" spans="1:26" x14ac:dyDescent="0.2">
      <c r="A136" s="47"/>
      <c r="B136" s="4" t="s">
        <v>135</v>
      </c>
      <c r="C136" s="9" t="s">
        <v>4</v>
      </c>
      <c r="D136" s="9" t="s">
        <v>4</v>
      </c>
      <c r="E136" s="9" t="s">
        <v>4</v>
      </c>
      <c r="F136" s="9" t="s">
        <v>4</v>
      </c>
      <c r="G136" s="9" t="s">
        <v>4</v>
      </c>
      <c r="H136" s="9" t="s">
        <v>4</v>
      </c>
      <c r="I136" s="9" t="s">
        <v>4</v>
      </c>
      <c r="J136" s="9" t="s">
        <v>4</v>
      </c>
      <c r="K136" s="9" t="s">
        <v>4</v>
      </c>
      <c r="L136" s="9" t="s">
        <v>4</v>
      </c>
      <c r="M136" s="9" t="s">
        <v>4</v>
      </c>
      <c r="N136" s="9" t="s">
        <v>4</v>
      </c>
      <c r="O136" s="9" t="s">
        <v>4</v>
      </c>
      <c r="P136" s="9" t="s">
        <v>4</v>
      </c>
      <c r="Q136" s="9" t="s">
        <v>4</v>
      </c>
      <c r="R136" s="9" t="s">
        <v>4</v>
      </c>
      <c r="S136" s="9" t="s">
        <v>4</v>
      </c>
      <c r="T136" s="9" t="s">
        <v>4</v>
      </c>
      <c r="U136" s="9" t="s">
        <v>4</v>
      </c>
      <c r="V136" s="9" t="s">
        <v>4</v>
      </c>
      <c r="W136" s="9" t="s">
        <v>4</v>
      </c>
      <c r="X136" s="9" t="s">
        <v>4</v>
      </c>
      <c r="Y136" s="9" t="s">
        <v>4</v>
      </c>
      <c r="Z136" s="25" t="s">
        <v>4</v>
      </c>
    </row>
    <row r="137" spans="1:26" x14ac:dyDescent="0.2">
      <c r="A137" s="47"/>
      <c r="B137" s="4" t="s">
        <v>136</v>
      </c>
      <c r="C137" s="9" t="s">
        <v>4</v>
      </c>
      <c r="D137" s="9" t="s">
        <v>4</v>
      </c>
      <c r="E137" s="9" t="s">
        <v>4</v>
      </c>
      <c r="F137" s="9" t="s">
        <v>4</v>
      </c>
      <c r="G137" s="9" t="s">
        <v>4</v>
      </c>
      <c r="H137" s="9" t="s">
        <v>4</v>
      </c>
      <c r="I137" s="9" t="s">
        <v>4</v>
      </c>
      <c r="J137" s="9" t="s">
        <v>4</v>
      </c>
      <c r="K137" s="9" t="s">
        <v>4</v>
      </c>
      <c r="L137" s="9" t="s">
        <v>4</v>
      </c>
      <c r="M137" s="9" t="s">
        <v>4</v>
      </c>
      <c r="N137" s="9" t="s">
        <v>4</v>
      </c>
      <c r="O137" s="9" t="s">
        <v>4</v>
      </c>
      <c r="P137" s="9" t="s">
        <v>4</v>
      </c>
      <c r="Q137" s="9" t="s">
        <v>4</v>
      </c>
      <c r="R137" s="9" t="s">
        <v>4</v>
      </c>
      <c r="S137" s="9" t="s">
        <v>4</v>
      </c>
      <c r="T137" s="9" t="s">
        <v>4</v>
      </c>
      <c r="U137" s="9" t="s">
        <v>4</v>
      </c>
      <c r="V137" s="9" t="s">
        <v>4</v>
      </c>
      <c r="W137" s="9" t="s">
        <v>4</v>
      </c>
      <c r="X137" s="9" t="s">
        <v>4</v>
      </c>
      <c r="Y137" s="9" t="s">
        <v>4</v>
      </c>
      <c r="Z137" s="25" t="s">
        <v>4</v>
      </c>
    </row>
    <row r="138" spans="1:26" x14ac:dyDescent="0.2">
      <c r="A138" s="47"/>
      <c r="B138" s="4" t="s">
        <v>137</v>
      </c>
      <c r="C138" s="9" t="s">
        <v>4</v>
      </c>
      <c r="D138" s="9" t="s">
        <v>4</v>
      </c>
      <c r="E138" s="9" t="s">
        <v>4</v>
      </c>
      <c r="F138" s="9" t="s">
        <v>4</v>
      </c>
      <c r="G138" s="9" t="s">
        <v>4</v>
      </c>
      <c r="H138" s="9" t="s">
        <v>4</v>
      </c>
      <c r="I138" s="9" t="s">
        <v>4</v>
      </c>
      <c r="J138" s="9" t="s">
        <v>4</v>
      </c>
      <c r="K138" s="9" t="s">
        <v>4</v>
      </c>
      <c r="L138" s="9" t="s">
        <v>4</v>
      </c>
      <c r="M138" s="9" t="s">
        <v>4</v>
      </c>
      <c r="N138" s="9" t="s">
        <v>4</v>
      </c>
      <c r="O138" s="9" t="s">
        <v>4</v>
      </c>
      <c r="P138" s="9" t="s">
        <v>4</v>
      </c>
      <c r="Q138" s="9" t="s">
        <v>4</v>
      </c>
      <c r="R138" s="9" t="s">
        <v>4</v>
      </c>
      <c r="S138" s="9" t="s">
        <v>4</v>
      </c>
      <c r="T138" s="9" t="s">
        <v>4</v>
      </c>
      <c r="U138" s="9" t="s">
        <v>4</v>
      </c>
      <c r="V138" s="9" t="s">
        <v>4</v>
      </c>
      <c r="W138" s="9" t="s">
        <v>4</v>
      </c>
      <c r="X138" s="9" t="s">
        <v>4</v>
      </c>
      <c r="Y138" s="9" t="s">
        <v>4</v>
      </c>
      <c r="Z138" s="25" t="s">
        <v>4</v>
      </c>
    </row>
    <row r="139" spans="1:26" x14ac:dyDescent="0.2">
      <c r="A139" s="47"/>
      <c r="B139" s="4" t="s">
        <v>138</v>
      </c>
      <c r="C139" s="9" t="s">
        <v>4</v>
      </c>
      <c r="D139" s="9" t="s">
        <v>4</v>
      </c>
      <c r="E139" s="9" t="s">
        <v>4</v>
      </c>
      <c r="F139" s="9" t="s">
        <v>4</v>
      </c>
      <c r="G139" s="9" t="s">
        <v>4</v>
      </c>
      <c r="H139" s="9" t="s">
        <v>4</v>
      </c>
      <c r="I139" s="9" t="s">
        <v>4</v>
      </c>
      <c r="J139" s="9" t="s">
        <v>4</v>
      </c>
      <c r="K139" s="9" t="s">
        <v>4</v>
      </c>
      <c r="L139" s="9" t="s">
        <v>4</v>
      </c>
      <c r="M139" s="9" t="s">
        <v>4</v>
      </c>
      <c r="N139" s="9" t="s">
        <v>4</v>
      </c>
      <c r="O139" s="9" t="s">
        <v>4</v>
      </c>
      <c r="P139" s="9" t="s">
        <v>4</v>
      </c>
      <c r="Q139" s="9" t="s">
        <v>4</v>
      </c>
      <c r="R139" s="9" t="s">
        <v>4</v>
      </c>
      <c r="S139" s="9" t="s">
        <v>4</v>
      </c>
      <c r="T139" s="9" t="s">
        <v>4</v>
      </c>
      <c r="U139" s="9" t="s">
        <v>4</v>
      </c>
      <c r="V139" s="9" t="s">
        <v>4</v>
      </c>
      <c r="W139" s="9" t="s">
        <v>4</v>
      </c>
      <c r="X139" s="9" t="s">
        <v>4</v>
      </c>
      <c r="Y139" s="9" t="s">
        <v>4</v>
      </c>
      <c r="Z139" s="25" t="s">
        <v>4</v>
      </c>
    </row>
    <row r="140" spans="1:26" x14ac:dyDescent="0.2">
      <c r="A140" s="47"/>
      <c r="B140" s="4" t="s">
        <v>139</v>
      </c>
      <c r="C140" s="9" t="s">
        <v>4</v>
      </c>
      <c r="D140" s="9" t="s">
        <v>4</v>
      </c>
      <c r="E140" s="9" t="s">
        <v>4</v>
      </c>
      <c r="F140" s="9" t="s">
        <v>4</v>
      </c>
      <c r="G140" s="9" t="s">
        <v>4</v>
      </c>
      <c r="H140" s="9" t="s">
        <v>4</v>
      </c>
      <c r="I140" s="9" t="s">
        <v>4</v>
      </c>
      <c r="J140" s="9" t="s">
        <v>4</v>
      </c>
      <c r="K140" s="9" t="s">
        <v>4</v>
      </c>
      <c r="L140" s="9" t="s">
        <v>4</v>
      </c>
      <c r="M140" s="9" t="s">
        <v>4</v>
      </c>
      <c r="N140" s="9" t="s">
        <v>4</v>
      </c>
      <c r="O140" s="9" t="s">
        <v>4</v>
      </c>
      <c r="P140" s="9" t="s">
        <v>4</v>
      </c>
      <c r="Q140" s="9" t="s">
        <v>4</v>
      </c>
      <c r="R140" s="9" t="s">
        <v>4</v>
      </c>
      <c r="S140" s="9" t="s">
        <v>4</v>
      </c>
      <c r="T140" s="9" t="s">
        <v>4</v>
      </c>
      <c r="U140" s="9" t="s">
        <v>4</v>
      </c>
      <c r="V140" s="9" t="s">
        <v>4</v>
      </c>
      <c r="W140" s="9" t="s">
        <v>4</v>
      </c>
      <c r="X140" s="9" t="s">
        <v>4</v>
      </c>
      <c r="Y140" s="9" t="s">
        <v>4</v>
      </c>
      <c r="Z140" s="25" t="s">
        <v>4</v>
      </c>
    </row>
    <row r="141" spans="1:26" ht="15.75" customHeight="1" thickBot="1" x14ac:dyDescent="0.25">
      <c r="A141" s="48"/>
      <c r="B141" s="37" t="s">
        <v>140</v>
      </c>
      <c r="C141" s="27" t="s">
        <v>4</v>
      </c>
      <c r="D141" s="27" t="s">
        <v>4</v>
      </c>
      <c r="E141" s="27" t="s">
        <v>4</v>
      </c>
      <c r="F141" s="27" t="s">
        <v>4</v>
      </c>
      <c r="G141" s="27" t="s">
        <v>4</v>
      </c>
      <c r="H141" s="27" t="s">
        <v>4</v>
      </c>
      <c r="I141" s="27" t="s">
        <v>4</v>
      </c>
      <c r="J141" s="27" t="s">
        <v>4</v>
      </c>
      <c r="K141" s="27" t="s">
        <v>4</v>
      </c>
      <c r="L141" s="27" t="s">
        <v>4</v>
      </c>
      <c r="M141" s="27" t="s">
        <v>4</v>
      </c>
      <c r="N141" s="27" t="s">
        <v>4</v>
      </c>
      <c r="O141" s="27" t="s">
        <v>4</v>
      </c>
      <c r="P141" s="27" t="s">
        <v>4</v>
      </c>
      <c r="Q141" s="27" t="s">
        <v>4</v>
      </c>
      <c r="R141" s="27" t="s">
        <v>4</v>
      </c>
      <c r="S141" s="27" t="s">
        <v>4</v>
      </c>
      <c r="T141" s="27" t="s">
        <v>4</v>
      </c>
      <c r="U141" s="27" t="s">
        <v>4</v>
      </c>
      <c r="V141" s="27" t="s">
        <v>4</v>
      </c>
      <c r="W141" s="27" t="s">
        <v>4</v>
      </c>
      <c r="X141" s="27" t="s">
        <v>4</v>
      </c>
      <c r="Y141" s="27" t="s">
        <v>4</v>
      </c>
      <c r="Z141" s="28" t="s">
        <v>4</v>
      </c>
    </row>
    <row r="142" spans="1:26" ht="15.75" customHeight="1" thickBot="1" x14ac:dyDescent="0.25">
      <c r="A142" s="34"/>
      <c r="B142"/>
      <c r="Z142" s="35"/>
    </row>
    <row r="143" spans="1:26" ht="15.75" customHeight="1" thickBot="1" x14ac:dyDescent="0.25">
      <c r="A143" s="56" t="s">
        <v>141</v>
      </c>
      <c r="B143" s="53"/>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5"/>
    </row>
    <row r="144" spans="1:26" x14ac:dyDescent="0.2">
      <c r="A144" s="46" t="s">
        <v>142</v>
      </c>
      <c r="B144" s="38" t="s">
        <v>143</v>
      </c>
      <c r="C144" s="23" t="s">
        <v>3</v>
      </c>
      <c r="D144" s="23" t="s">
        <v>3</v>
      </c>
      <c r="E144" s="23" t="s">
        <v>4</v>
      </c>
      <c r="F144" s="23" t="s">
        <v>4</v>
      </c>
      <c r="G144" s="23" t="s">
        <v>4</v>
      </c>
      <c r="H144" s="23" t="s">
        <v>4</v>
      </c>
      <c r="I144" s="23" t="s">
        <v>4</v>
      </c>
      <c r="J144" s="23" t="s">
        <v>4</v>
      </c>
      <c r="K144" s="23" t="s">
        <v>4</v>
      </c>
      <c r="L144" s="23" t="s">
        <v>4</v>
      </c>
      <c r="M144" s="23" t="s">
        <v>4</v>
      </c>
      <c r="N144" s="23" t="s">
        <v>4</v>
      </c>
      <c r="O144" s="23" t="s">
        <v>4</v>
      </c>
      <c r="P144" s="23" t="s">
        <v>4</v>
      </c>
      <c r="Q144" s="23" t="s">
        <v>4</v>
      </c>
      <c r="R144" s="23" t="s">
        <v>4</v>
      </c>
      <c r="S144" s="23" t="s">
        <v>4</v>
      </c>
      <c r="T144" s="23" t="s">
        <v>4</v>
      </c>
      <c r="U144" s="23" t="s">
        <v>4</v>
      </c>
      <c r="V144" s="23" t="s">
        <v>4</v>
      </c>
      <c r="W144" s="23" t="s">
        <v>4</v>
      </c>
      <c r="X144" s="23" t="s">
        <v>4</v>
      </c>
      <c r="Y144" s="23" t="s">
        <v>4</v>
      </c>
      <c r="Z144" s="24" t="s">
        <v>4</v>
      </c>
    </row>
    <row r="145" spans="1:26" x14ac:dyDescent="0.2">
      <c r="A145" s="47"/>
      <c r="B145" s="5" t="s">
        <v>144</v>
      </c>
      <c r="C145" s="9" t="s">
        <v>3</v>
      </c>
      <c r="D145" s="9" t="s">
        <v>3</v>
      </c>
      <c r="E145" s="9" t="s">
        <v>4</v>
      </c>
      <c r="F145" s="9" t="s">
        <v>4</v>
      </c>
      <c r="G145" s="9" t="s">
        <v>4</v>
      </c>
      <c r="H145" s="9" t="s">
        <v>4</v>
      </c>
      <c r="I145" s="9" t="s">
        <v>4</v>
      </c>
      <c r="J145" s="9" t="s">
        <v>4</v>
      </c>
      <c r="K145" s="9" t="s">
        <v>4</v>
      </c>
      <c r="L145" s="9" t="s">
        <v>4</v>
      </c>
      <c r="M145" s="9" t="s">
        <v>4</v>
      </c>
      <c r="N145" s="9" t="s">
        <v>4</v>
      </c>
      <c r="O145" s="9" t="s">
        <v>4</v>
      </c>
      <c r="P145" s="9" t="s">
        <v>4</v>
      </c>
      <c r="Q145" s="9" t="s">
        <v>4</v>
      </c>
      <c r="R145" s="9" t="s">
        <v>4</v>
      </c>
      <c r="S145" s="9" t="s">
        <v>4</v>
      </c>
      <c r="T145" s="9" t="s">
        <v>4</v>
      </c>
      <c r="U145" s="9" t="s">
        <v>4</v>
      </c>
      <c r="V145" s="9" t="s">
        <v>4</v>
      </c>
      <c r="W145" s="9" t="s">
        <v>4</v>
      </c>
      <c r="X145" s="9" t="s">
        <v>4</v>
      </c>
      <c r="Y145" s="9" t="s">
        <v>4</v>
      </c>
      <c r="Z145" s="25" t="s">
        <v>4</v>
      </c>
    </row>
    <row r="146" spans="1:26" x14ac:dyDescent="0.2">
      <c r="A146" s="47"/>
      <c r="B146" s="5" t="s">
        <v>145</v>
      </c>
      <c r="C146" s="9" t="s">
        <v>3</v>
      </c>
      <c r="D146" s="9" t="s">
        <v>3</v>
      </c>
      <c r="E146" s="9" t="s">
        <v>4</v>
      </c>
      <c r="F146" s="9" t="s">
        <v>4</v>
      </c>
      <c r="G146" s="9" t="s">
        <v>4</v>
      </c>
      <c r="H146" s="9" t="s">
        <v>4</v>
      </c>
      <c r="I146" s="9" t="s">
        <v>4</v>
      </c>
      <c r="J146" s="9" t="s">
        <v>4</v>
      </c>
      <c r="K146" s="9" t="s">
        <v>4</v>
      </c>
      <c r="L146" s="9" t="s">
        <v>4</v>
      </c>
      <c r="M146" s="9" t="s">
        <v>4</v>
      </c>
      <c r="N146" s="9" t="s">
        <v>4</v>
      </c>
      <c r="O146" s="9" t="s">
        <v>4</v>
      </c>
      <c r="P146" s="9" t="s">
        <v>4</v>
      </c>
      <c r="Q146" s="9" t="s">
        <v>4</v>
      </c>
      <c r="R146" s="9" t="s">
        <v>4</v>
      </c>
      <c r="S146" s="9" t="s">
        <v>4</v>
      </c>
      <c r="T146" s="9" t="s">
        <v>4</v>
      </c>
      <c r="U146" s="9" t="s">
        <v>4</v>
      </c>
      <c r="V146" s="9" t="s">
        <v>4</v>
      </c>
      <c r="W146" s="9" t="s">
        <v>4</v>
      </c>
      <c r="X146" s="9" t="s">
        <v>4</v>
      </c>
      <c r="Y146" s="9" t="s">
        <v>4</v>
      </c>
      <c r="Z146" s="25" t="s">
        <v>4</v>
      </c>
    </row>
    <row r="147" spans="1:26" x14ac:dyDescent="0.2">
      <c r="A147" s="47"/>
      <c r="B147" s="5" t="s">
        <v>146</v>
      </c>
      <c r="C147" s="9" t="s">
        <v>3</v>
      </c>
      <c r="D147" s="9" t="s">
        <v>3</v>
      </c>
      <c r="E147" s="9" t="s">
        <v>4</v>
      </c>
      <c r="F147" s="9" t="s">
        <v>4</v>
      </c>
      <c r="G147" s="9" t="s">
        <v>4</v>
      </c>
      <c r="H147" s="9" t="s">
        <v>4</v>
      </c>
      <c r="I147" s="9" t="s">
        <v>4</v>
      </c>
      <c r="J147" s="9" t="s">
        <v>4</v>
      </c>
      <c r="K147" s="9" t="s">
        <v>4</v>
      </c>
      <c r="L147" s="9" t="s">
        <v>4</v>
      </c>
      <c r="M147" s="9" t="s">
        <v>4</v>
      </c>
      <c r="N147" s="9" t="s">
        <v>4</v>
      </c>
      <c r="O147" s="9" t="s">
        <v>4</v>
      </c>
      <c r="P147" s="9" t="s">
        <v>4</v>
      </c>
      <c r="Q147" s="9" t="s">
        <v>4</v>
      </c>
      <c r="R147" s="9" t="s">
        <v>4</v>
      </c>
      <c r="S147" s="9" t="s">
        <v>4</v>
      </c>
      <c r="T147" s="9" t="s">
        <v>4</v>
      </c>
      <c r="U147" s="9" t="s">
        <v>4</v>
      </c>
      <c r="V147" s="9" t="s">
        <v>4</v>
      </c>
      <c r="W147" s="9" t="s">
        <v>4</v>
      </c>
      <c r="X147" s="9" t="s">
        <v>4</v>
      </c>
      <c r="Y147" s="9" t="s">
        <v>4</v>
      </c>
      <c r="Z147" s="25" t="s">
        <v>4</v>
      </c>
    </row>
    <row r="148" spans="1:26" x14ac:dyDescent="0.2">
      <c r="A148" s="47"/>
      <c r="B148" s="5" t="s">
        <v>147</v>
      </c>
      <c r="C148" s="9" t="s">
        <v>3</v>
      </c>
      <c r="D148" s="9" t="s">
        <v>3</v>
      </c>
      <c r="E148" s="9" t="s">
        <v>4</v>
      </c>
      <c r="F148" s="9" t="s">
        <v>4</v>
      </c>
      <c r="G148" s="9" t="s">
        <v>4</v>
      </c>
      <c r="H148" s="9" t="s">
        <v>4</v>
      </c>
      <c r="I148" s="9" t="s">
        <v>4</v>
      </c>
      <c r="J148" s="9" t="s">
        <v>4</v>
      </c>
      <c r="K148" s="9" t="s">
        <v>4</v>
      </c>
      <c r="L148" s="9" t="s">
        <v>4</v>
      </c>
      <c r="M148" s="9" t="s">
        <v>4</v>
      </c>
      <c r="N148" s="9" t="s">
        <v>4</v>
      </c>
      <c r="O148" s="9" t="s">
        <v>4</v>
      </c>
      <c r="P148" s="9" t="s">
        <v>4</v>
      </c>
      <c r="Q148" s="9" t="s">
        <v>4</v>
      </c>
      <c r="R148" s="9" t="s">
        <v>4</v>
      </c>
      <c r="S148" s="9" t="s">
        <v>4</v>
      </c>
      <c r="T148" s="9" t="s">
        <v>4</v>
      </c>
      <c r="U148" s="9" t="s">
        <v>4</v>
      </c>
      <c r="V148" s="9" t="s">
        <v>4</v>
      </c>
      <c r="W148" s="9" t="s">
        <v>4</v>
      </c>
      <c r="X148" s="9" t="s">
        <v>4</v>
      </c>
      <c r="Y148" s="9" t="s">
        <v>4</v>
      </c>
      <c r="Z148" s="25" t="s">
        <v>4</v>
      </c>
    </row>
    <row r="149" spans="1:26" x14ac:dyDescent="0.2">
      <c r="A149" s="47"/>
      <c r="B149" s="5" t="s">
        <v>148</v>
      </c>
      <c r="C149" s="9" t="s">
        <v>3</v>
      </c>
      <c r="D149" s="9" t="s">
        <v>3</v>
      </c>
      <c r="E149" s="9" t="s">
        <v>4</v>
      </c>
      <c r="F149" s="9" t="s">
        <v>4</v>
      </c>
      <c r="G149" s="9" t="s">
        <v>4</v>
      </c>
      <c r="H149" s="9" t="s">
        <v>4</v>
      </c>
      <c r="I149" s="9" t="s">
        <v>4</v>
      </c>
      <c r="J149" s="9" t="s">
        <v>4</v>
      </c>
      <c r="K149" s="9" t="s">
        <v>4</v>
      </c>
      <c r="L149" s="9" t="s">
        <v>4</v>
      </c>
      <c r="M149" s="9" t="s">
        <v>4</v>
      </c>
      <c r="N149" s="9" t="s">
        <v>4</v>
      </c>
      <c r="O149" s="9" t="s">
        <v>4</v>
      </c>
      <c r="P149" s="9" t="s">
        <v>4</v>
      </c>
      <c r="Q149" s="9" t="s">
        <v>4</v>
      </c>
      <c r="R149" s="9" t="s">
        <v>4</v>
      </c>
      <c r="S149" s="9" t="s">
        <v>4</v>
      </c>
      <c r="T149" s="9" t="s">
        <v>4</v>
      </c>
      <c r="U149" s="9" t="s">
        <v>4</v>
      </c>
      <c r="V149" s="9" t="s">
        <v>4</v>
      </c>
      <c r="W149" s="9" t="s">
        <v>4</v>
      </c>
      <c r="X149" s="9" t="s">
        <v>4</v>
      </c>
      <c r="Y149" s="9" t="s">
        <v>4</v>
      </c>
      <c r="Z149" s="25" t="s">
        <v>4</v>
      </c>
    </row>
    <row r="150" spans="1:26" ht="15.75" customHeight="1" thickBot="1" x14ac:dyDescent="0.25">
      <c r="A150" s="48"/>
      <c r="B150" s="39" t="s">
        <v>149</v>
      </c>
      <c r="C150" s="27" t="s">
        <v>3</v>
      </c>
      <c r="D150" s="27" t="s">
        <v>3</v>
      </c>
      <c r="E150" s="27" t="s">
        <v>4</v>
      </c>
      <c r="F150" s="27" t="s">
        <v>4</v>
      </c>
      <c r="G150" s="27" t="s">
        <v>4</v>
      </c>
      <c r="H150" s="27" t="s">
        <v>4</v>
      </c>
      <c r="I150" s="27" t="s">
        <v>4</v>
      </c>
      <c r="J150" s="27" t="s">
        <v>4</v>
      </c>
      <c r="K150" s="27" t="s">
        <v>4</v>
      </c>
      <c r="L150" s="27" t="s">
        <v>4</v>
      </c>
      <c r="M150" s="27" t="s">
        <v>4</v>
      </c>
      <c r="N150" s="27" t="s">
        <v>4</v>
      </c>
      <c r="O150" s="27" t="s">
        <v>4</v>
      </c>
      <c r="P150" s="27" t="s">
        <v>4</v>
      </c>
      <c r="Q150" s="27" t="s">
        <v>4</v>
      </c>
      <c r="R150" s="27" t="s">
        <v>4</v>
      </c>
      <c r="S150" s="27" t="s">
        <v>4</v>
      </c>
      <c r="T150" s="27" t="s">
        <v>4</v>
      </c>
      <c r="U150" s="27" t="s">
        <v>4</v>
      </c>
      <c r="V150" s="27" t="s">
        <v>4</v>
      </c>
      <c r="W150" s="27" t="s">
        <v>4</v>
      </c>
      <c r="X150" s="27" t="s">
        <v>4</v>
      </c>
      <c r="Y150" s="27" t="s">
        <v>4</v>
      </c>
      <c r="Z150" s="28" t="s">
        <v>4</v>
      </c>
    </row>
    <row r="151" spans="1:26" x14ac:dyDescent="0.2">
      <c r="A151" s="46" t="s">
        <v>150</v>
      </c>
      <c r="B151" s="38" t="s">
        <v>151</v>
      </c>
      <c r="C151" s="23" t="s">
        <v>3</v>
      </c>
      <c r="D151" s="23" t="s">
        <v>3</v>
      </c>
      <c r="E151" s="23" t="s">
        <v>4</v>
      </c>
      <c r="F151" s="23" t="s">
        <v>4</v>
      </c>
      <c r="G151" s="23" t="s">
        <v>4</v>
      </c>
      <c r="H151" s="23" t="s">
        <v>4</v>
      </c>
      <c r="I151" s="23" t="s">
        <v>4</v>
      </c>
      <c r="J151" s="23" t="s">
        <v>4</v>
      </c>
      <c r="K151" s="23" t="s">
        <v>4</v>
      </c>
      <c r="L151" s="23" t="s">
        <v>4</v>
      </c>
      <c r="M151" s="23" t="s">
        <v>4</v>
      </c>
      <c r="N151" s="23" t="s">
        <v>4</v>
      </c>
      <c r="O151" s="23" t="s">
        <v>4</v>
      </c>
      <c r="P151" s="23" t="s">
        <v>4</v>
      </c>
      <c r="Q151" s="23" t="s">
        <v>4</v>
      </c>
      <c r="R151" s="23" t="s">
        <v>4</v>
      </c>
      <c r="S151" s="23" t="s">
        <v>4</v>
      </c>
      <c r="T151" s="23" t="s">
        <v>4</v>
      </c>
      <c r="U151" s="23" t="s">
        <v>4</v>
      </c>
      <c r="V151" s="23" t="s">
        <v>4</v>
      </c>
      <c r="W151" s="23" t="s">
        <v>4</v>
      </c>
      <c r="X151" s="23" t="s">
        <v>4</v>
      </c>
      <c r="Y151" s="23" t="s">
        <v>4</v>
      </c>
      <c r="Z151" s="24" t="s">
        <v>4</v>
      </c>
    </row>
    <row r="152" spans="1:26" x14ac:dyDescent="0.2">
      <c r="A152" s="47"/>
      <c r="B152" s="5" t="s">
        <v>21</v>
      </c>
      <c r="C152" s="9" t="s">
        <v>3</v>
      </c>
      <c r="D152" s="9" t="s">
        <v>3</v>
      </c>
      <c r="E152" s="9" t="s">
        <v>4</v>
      </c>
      <c r="F152" s="9" t="s">
        <v>4</v>
      </c>
      <c r="G152" s="9" t="s">
        <v>4</v>
      </c>
      <c r="H152" s="9" t="s">
        <v>4</v>
      </c>
      <c r="I152" s="9" t="s">
        <v>4</v>
      </c>
      <c r="J152" s="9" t="s">
        <v>4</v>
      </c>
      <c r="K152" s="9" t="s">
        <v>4</v>
      </c>
      <c r="L152" s="9" t="s">
        <v>4</v>
      </c>
      <c r="M152" s="9" t="s">
        <v>4</v>
      </c>
      <c r="N152" s="9" t="s">
        <v>4</v>
      </c>
      <c r="O152" s="9" t="s">
        <v>4</v>
      </c>
      <c r="P152" s="9" t="s">
        <v>4</v>
      </c>
      <c r="Q152" s="9" t="s">
        <v>4</v>
      </c>
      <c r="R152" s="9" t="s">
        <v>4</v>
      </c>
      <c r="S152" s="9" t="s">
        <v>4</v>
      </c>
      <c r="T152" s="9" t="s">
        <v>4</v>
      </c>
      <c r="U152" s="9" t="s">
        <v>4</v>
      </c>
      <c r="V152" s="9" t="s">
        <v>4</v>
      </c>
      <c r="W152" s="9" t="s">
        <v>4</v>
      </c>
      <c r="X152" s="9" t="s">
        <v>4</v>
      </c>
      <c r="Y152" s="9" t="s">
        <v>4</v>
      </c>
      <c r="Z152" s="25" t="s">
        <v>4</v>
      </c>
    </row>
    <row r="153" spans="1:26" x14ac:dyDescent="0.2">
      <c r="A153" s="47"/>
      <c r="B153" s="5" t="s">
        <v>152</v>
      </c>
      <c r="C153" s="9" t="s">
        <v>3</v>
      </c>
      <c r="D153" s="9" t="s">
        <v>3</v>
      </c>
      <c r="E153" s="9" t="s">
        <v>4</v>
      </c>
      <c r="F153" s="9" t="s">
        <v>4</v>
      </c>
      <c r="G153" s="9" t="s">
        <v>4</v>
      </c>
      <c r="H153" s="9" t="s">
        <v>4</v>
      </c>
      <c r="I153" s="9" t="s">
        <v>4</v>
      </c>
      <c r="J153" s="9" t="s">
        <v>4</v>
      </c>
      <c r="K153" s="9" t="s">
        <v>4</v>
      </c>
      <c r="L153" s="9" t="s">
        <v>4</v>
      </c>
      <c r="M153" s="9" t="s">
        <v>4</v>
      </c>
      <c r="N153" s="9" t="s">
        <v>4</v>
      </c>
      <c r="O153" s="9" t="s">
        <v>4</v>
      </c>
      <c r="P153" s="9" t="s">
        <v>4</v>
      </c>
      <c r="Q153" s="9" t="s">
        <v>4</v>
      </c>
      <c r="R153" s="9" t="s">
        <v>4</v>
      </c>
      <c r="S153" s="9" t="s">
        <v>4</v>
      </c>
      <c r="T153" s="9" t="s">
        <v>4</v>
      </c>
      <c r="U153" s="9" t="s">
        <v>4</v>
      </c>
      <c r="V153" s="9" t="s">
        <v>4</v>
      </c>
      <c r="W153" s="9" t="s">
        <v>4</v>
      </c>
      <c r="X153" s="9" t="s">
        <v>4</v>
      </c>
      <c r="Y153" s="9" t="s">
        <v>4</v>
      </c>
      <c r="Z153" s="25" t="s">
        <v>4</v>
      </c>
    </row>
    <row r="154" spans="1:26" x14ac:dyDescent="0.2">
      <c r="A154" s="47"/>
      <c r="B154" s="5" t="s">
        <v>153</v>
      </c>
      <c r="C154" s="9" t="s">
        <v>3</v>
      </c>
      <c r="D154" s="9" t="s">
        <v>3</v>
      </c>
      <c r="E154" s="9" t="s">
        <v>4</v>
      </c>
      <c r="F154" s="9" t="s">
        <v>4</v>
      </c>
      <c r="G154" s="9" t="s">
        <v>4</v>
      </c>
      <c r="H154" s="9" t="s">
        <v>4</v>
      </c>
      <c r="I154" s="9" t="s">
        <v>4</v>
      </c>
      <c r="J154" s="9" t="s">
        <v>4</v>
      </c>
      <c r="K154" s="9" t="s">
        <v>4</v>
      </c>
      <c r="L154" s="9" t="s">
        <v>4</v>
      </c>
      <c r="M154" s="9" t="s">
        <v>4</v>
      </c>
      <c r="N154" s="9" t="s">
        <v>4</v>
      </c>
      <c r="O154" s="9" t="s">
        <v>4</v>
      </c>
      <c r="P154" s="9" t="s">
        <v>4</v>
      </c>
      <c r="Q154" s="9" t="s">
        <v>4</v>
      </c>
      <c r="R154" s="9" t="s">
        <v>4</v>
      </c>
      <c r="S154" s="9" t="s">
        <v>4</v>
      </c>
      <c r="T154" s="9" t="s">
        <v>4</v>
      </c>
      <c r="U154" s="9" t="s">
        <v>4</v>
      </c>
      <c r="V154" s="9" t="s">
        <v>4</v>
      </c>
      <c r="W154" s="9" t="s">
        <v>4</v>
      </c>
      <c r="X154" s="9" t="s">
        <v>4</v>
      </c>
      <c r="Y154" s="9" t="s">
        <v>4</v>
      </c>
      <c r="Z154" s="25" t="s">
        <v>4</v>
      </c>
    </row>
    <row r="155" spans="1:26" x14ac:dyDescent="0.2">
      <c r="A155" s="47"/>
      <c r="B155" s="5" t="s">
        <v>154</v>
      </c>
      <c r="C155" s="9" t="s">
        <v>273</v>
      </c>
      <c r="D155" s="9" t="s">
        <v>273</v>
      </c>
      <c r="E155" s="9" t="s">
        <v>4</v>
      </c>
      <c r="F155" s="9" t="s">
        <v>4</v>
      </c>
      <c r="G155" s="9" t="s">
        <v>4</v>
      </c>
      <c r="H155" s="9" t="s">
        <v>4</v>
      </c>
      <c r="I155" s="9" t="s">
        <v>4</v>
      </c>
      <c r="J155" s="9" t="s">
        <v>4</v>
      </c>
      <c r="K155" s="9" t="s">
        <v>4</v>
      </c>
      <c r="L155" s="9" t="s">
        <v>4</v>
      </c>
      <c r="M155" s="9" t="s">
        <v>4</v>
      </c>
      <c r="N155" s="9" t="s">
        <v>4</v>
      </c>
      <c r="O155" s="9" t="s">
        <v>4</v>
      </c>
      <c r="P155" s="9" t="s">
        <v>4</v>
      </c>
      <c r="Q155" s="9" t="s">
        <v>4</v>
      </c>
      <c r="R155" s="9" t="s">
        <v>4</v>
      </c>
      <c r="S155" s="9" t="s">
        <v>4</v>
      </c>
      <c r="T155" s="9" t="s">
        <v>4</v>
      </c>
      <c r="U155" s="9" t="s">
        <v>4</v>
      </c>
      <c r="V155" s="9" t="s">
        <v>4</v>
      </c>
      <c r="W155" s="9" t="s">
        <v>4</v>
      </c>
      <c r="X155" s="9" t="s">
        <v>4</v>
      </c>
      <c r="Y155" s="9" t="s">
        <v>4</v>
      </c>
      <c r="Z155" s="25" t="s">
        <v>4</v>
      </c>
    </row>
    <row r="156" spans="1:26" x14ac:dyDescent="0.2">
      <c r="A156" s="47"/>
      <c r="B156" s="5" t="s">
        <v>155</v>
      </c>
      <c r="C156" s="9" t="s">
        <v>273</v>
      </c>
      <c r="D156" s="9" t="s">
        <v>273</v>
      </c>
      <c r="E156" s="9" t="s">
        <v>4</v>
      </c>
      <c r="F156" s="9" t="s">
        <v>4</v>
      </c>
      <c r="G156" s="9" t="s">
        <v>4</v>
      </c>
      <c r="H156" s="9" t="s">
        <v>4</v>
      </c>
      <c r="I156" s="9" t="s">
        <v>4</v>
      </c>
      <c r="J156" s="9" t="s">
        <v>4</v>
      </c>
      <c r="K156" s="9" t="s">
        <v>4</v>
      </c>
      <c r="L156" s="9" t="s">
        <v>4</v>
      </c>
      <c r="M156" s="9" t="s">
        <v>4</v>
      </c>
      <c r="N156" s="9" t="s">
        <v>4</v>
      </c>
      <c r="O156" s="9" t="s">
        <v>4</v>
      </c>
      <c r="P156" s="9" t="s">
        <v>4</v>
      </c>
      <c r="Q156" s="9" t="s">
        <v>4</v>
      </c>
      <c r="R156" s="9" t="s">
        <v>4</v>
      </c>
      <c r="S156" s="9" t="s">
        <v>4</v>
      </c>
      <c r="T156" s="9" t="s">
        <v>4</v>
      </c>
      <c r="U156" s="9" t="s">
        <v>4</v>
      </c>
      <c r="V156" s="9" t="s">
        <v>4</v>
      </c>
      <c r="W156" s="9" t="s">
        <v>4</v>
      </c>
      <c r="X156" s="9" t="s">
        <v>4</v>
      </c>
      <c r="Y156" s="9" t="s">
        <v>4</v>
      </c>
      <c r="Z156" s="25" t="s">
        <v>4</v>
      </c>
    </row>
    <row r="157" spans="1:26" x14ac:dyDescent="0.2">
      <c r="A157" s="47"/>
      <c r="B157" s="5" t="s">
        <v>156</v>
      </c>
      <c r="C157" s="9" t="s">
        <v>273</v>
      </c>
      <c r="D157" s="9" t="s">
        <v>273</v>
      </c>
      <c r="E157" s="9" t="s">
        <v>4</v>
      </c>
      <c r="F157" s="9" t="s">
        <v>4</v>
      </c>
      <c r="G157" s="9" t="s">
        <v>4</v>
      </c>
      <c r="H157" s="9" t="s">
        <v>4</v>
      </c>
      <c r="I157" s="9" t="s">
        <v>4</v>
      </c>
      <c r="J157" s="9" t="s">
        <v>4</v>
      </c>
      <c r="K157" s="9" t="s">
        <v>4</v>
      </c>
      <c r="L157" s="9" t="s">
        <v>4</v>
      </c>
      <c r="M157" s="9" t="s">
        <v>4</v>
      </c>
      <c r="N157" s="9" t="s">
        <v>4</v>
      </c>
      <c r="O157" s="9" t="s">
        <v>4</v>
      </c>
      <c r="P157" s="9" t="s">
        <v>4</v>
      </c>
      <c r="Q157" s="9" t="s">
        <v>4</v>
      </c>
      <c r="R157" s="9" t="s">
        <v>4</v>
      </c>
      <c r="S157" s="9" t="s">
        <v>4</v>
      </c>
      <c r="T157" s="9" t="s">
        <v>4</v>
      </c>
      <c r="U157" s="9" t="s">
        <v>4</v>
      </c>
      <c r="V157" s="9" t="s">
        <v>4</v>
      </c>
      <c r="W157" s="9" t="s">
        <v>4</v>
      </c>
      <c r="X157" s="9" t="s">
        <v>4</v>
      </c>
      <c r="Y157" s="9" t="s">
        <v>4</v>
      </c>
      <c r="Z157" s="25" t="s">
        <v>4</v>
      </c>
    </row>
    <row r="158" spans="1:26" x14ac:dyDescent="0.2">
      <c r="A158" s="47"/>
      <c r="B158" s="5" t="s">
        <v>157</v>
      </c>
      <c r="C158" s="9" t="s">
        <v>4</v>
      </c>
      <c r="D158" s="9" t="s">
        <v>4</v>
      </c>
      <c r="E158" s="9" t="s">
        <v>4</v>
      </c>
      <c r="F158" s="9" t="s">
        <v>4</v>
      </c>
      <c r="G158" s="9" t="s">
        <v>4</v>
      </c>
      <c r="H158" s="9" t="s">
        <v>4</v>
      </c>
      <c r="I158" s="9" t="s">
        <v>4</v>
      </c>
      <c r="J158" s="9" t="s">
        <v>4</v>
      </c>
      <c r="K158" s="9" t="s">
        <v>4</v>
      </c>
      <c r="L158" s="9" t="s">
        <v>4</v>
      </c>
      <c r="M158" s="9" t="s">
        <v>4</v>
      </c>
      <c r="N158" s="9" t="s">
        <v>4</v>
      </c>
      <c r="O158" s="9" t="s">
        <v>4</v>
      </c>
      <c r="P158" s="9" t="s">
        <v>4</v>
      </c>
      <c r="Q158" s="9" t="s">
        <v>4</v>
      </c>
      <c r="R158" s="9" t="s">
        <v>4</v>
      </c>
      <c r="S158" s="9" t="s">
        <v>4</v>
      </c>
      <c r="T158" s="9" t="s">
        <v>4</v>
      </c>
      <c r="U158" s="9" t="s">
        <v>4</v>
      </c>
      <c r="V158" s="9" t="s">
        <v>4</v>
      </c>
      <c r="W158" s="9" t="s">
        <v>4</v>
      </c>
      <c r="X158" s="9" t="s">
        <v>4</v>
      </c>
      <c r="Y158" s="9" t="s">
        <v>4</v>
      </c>
      <c r="Z158" s="25" t="s">
        <v>4</v>
      </c>
    </row>
    <row r="159" spans="1:26" x14ac:dyDescent="0.2">
      <c r="A159" s="47"/>
      <c r="B159" s="5" t="s">
        <v>158</v>
      </c>
      <c r="C159" s="9" t="s">
        <v>4</v>
      </c>
      <c r="D159" s="9" t="s">
        <v>4</v>
      </c>
      <c r="E159" s="9" t="s">
        <v>4</v>
      </c>
      <c r="F159" s="9" t="s">
        <v>4</v>
      </c>
      <c r="G159" s="9" t="s">
        <v>4</v>
      </c>
      <c r="H159" s="9" t="s">
        <v>4</v>
      </c>
      <c r="I159" s="9" t="s">
        <v>4</v>
      </c>
      <c r="J159" s="9" t="s">
        <v>4</v>
      </c>
      <c r="K159" s="9" t="s">
        <v>4</v>
      </c>
      <c r="L159" s="9" t="s">
        <v>4</v>
      </c>
      <c r="M159" s="9" t="s">
        <v>4</v>
      </c>
      <c r="N159" s="9" t="s">
        <v>4</v>
      </c>
      <c r="O159" s="9" t="s">
        <v>4</v>
      </c>
      <c r="P159" s="9" t="s">
        <v>4</v>
      </c>
      <c r="Q159" s="9" t="s">
        <v>4</v>
      </c>
      <c r="R159" s="9" t="s">
        <v>4</v>
      </c>
      <c r="S159" s="9" t="s">
        <v>4</v>
      </c>
      <c r="T159" s="9" t="s">
        <v>4</v>
      </c>
      <c r="U159" s="9" t="s">
        <v>4</v>
      </c>
      <c r="V159" s="9" t="s">
        <v>4</v>
      </c>
      <c r="W159" s="9" t="s">
        <v>4</v>
      </c>
      <c r="X159" s="9" t="s">
        <v>4</v>
      </c>
      <c r="Y159" s="9" t="s">
        <v>4</v>
      </c>
      <c r="Z159" s="25" t="s">
        <v>4</v>
      </c>
    </row>
    <row r="160" spans="1:26" x14ac:dyDescent="0.2">
      <c r="A160" s="47"/>
      <c r="B160" s="5" t="s">
        <v>159</v>
      </c>
      <c r="C160" s="9" t="s">
        <v>4</v>
      </c>
      <c r="D160" s="9" t="s">
        <v>4</v>
      </c>
      <c r="E160" s="9" t="s">
        <v>4</v>
      </c>
      <c r="F160" s="9" t="s">
        <v>4</v>
      </c>
      <c r="G160" s="9" t="s">
        <v>4</v>
      </c>
      <c r="H160" s="9" t="s">
        <v>4</v>
      </c>
      <c r="I160" s="9" t="s">
        <v>4</v>
      </c>
      <c r="J160" s="9" t="s">
        <v>4</v>
      </c>
      <c r="K160" s="9" t="s">
        <v>4</v>
      </c>
      <c r="L160" s="9" t="s">
        <v>4</v>
      </c>
      <c r="M160" s="9" t="s">
        <v>4</v>
      </c>
      <c r="N160" s="9" t="s">
        <v>4</v>
      </c>
      <c r="O160" s="9" t="s">
        <v>4</v>
      </c>
      <c r="P160" s="9" t="s">
        <v>4</v>
      </c>
      <c r="Q160" s="9" t="s">
        <v>4</v>
      </c>
      <c r="R160" s="9" t="s">
        <v>4</v>
      </c>
      <c r="S160" s="9" t="s">
        <v>4</v>
      </c>
      <c r="T160" s="9" t="s">
        <v>4</v>
      </c>
      <c r="U160" s="9" t="s">
        <v>4</v>
      </c>
      <c r="V160" s="9" t="s">
        <v>4</v>
      </c>
      <c r="W160" s="9" t="s">
        <v>4</v>
      </c>
      <c r="X160" s="9" t="s">
        <v>4</v>
      </c>
      <c r="Y160" s="9" t="s">
        <v>4</v>
      </c>
      <c r="Z160" s="25" t="s">
        <v>4</v>
      </c>
    </row>
    <row r="161" spans="1:26" x14ac:dyDescent="0.2">
      <c r="A161" s="47"/>
      <c r="B161" s="5" t="s">
        <v>160</v>
      </c>
      <c r="C161" s="9" t="s">
        <v>4</v>
      </c>
      <c r="D161" s="9" t="s">
        <v>4</v>
      </c>
      <c r="E161" s="9" t="s">
        <v>4</v>
      </c>
      <c r="F161" s="9" t="s">
        <v>4</v>
      </c>
      <c r="G161" s="9" t="s">
        <v>4</v>
      </c>
      <c r="H161" s="9" t="s">
        <v>4</v>
      </c>
      <c r="I161" s="9" t="s">
        <v>4</v>
      </c>
      <c r="J161" s="9" t="s">
        <v>4</v>
      </c>
      <c r="K161" s="9" t="s">
        <v>4</v>
      </c>
      <c r="L161" s="9" t="s">
        <v>4</v>
      </c>
      <c r="M161" s="9" t="s">
        <v>4</v>
      </c>
      <c r="N161" s="9" t="s">
        <v>4</v>
      </c>
      <c r="O161" s="9" t="s">
        <v>4</v>
      </c>
      <c r="P161" s="9" t="s">
        <v>4</v>
      </c>
      <c r="Q161" s="9" t="s">
        <v>4</v>
      </c>
      <c r="R161" s="9" t="s">
        <v>4</v>
      </c>
      <c r="S161" s="9" t="s">
        <v>4</v>
      </c>
      <c r="T161" s="9" t="s">
        <v>4</v>
      </c>
      <c r="U161" s="9" t="s">
        <v>4</v>
      </c>
      <c r="V161" s="9" t="s">
        <v>4</v>
      </c>
      <c r="W161" s="9" t="s">
        <v>4</v>
      </c>
      <c r="X161" s="9" t="s">
        <v>4</v>
      </c>
      <c r="Y161" s="9" t="s">
        <v>4</v>
      </c>
      <c r="Z161" s="25" t="s">
        <v>4</v>
      </c>
    </row>
    <row r="162" spans="1:26" x14ac:dyDescent="0.2">
      <c r="A162" s="47"/>
      <c r="B162" s="5" t="s">
        <v>161</v>
      </c>
      <c r="C162" s="9" t="s">
        <v>4</v>
      </c>
      <c r="D162" s="9" t="s">
        <v>4</v>
      </c>
      <c r="E162" s="9" t="s">
        <v>4</v>
      </c>
      <c r="F162" s="9" t="s">
        <v>4</v>
      </c>
      <c r="G162" s="9" t="s">
        <v>4</v>
      </c>
      <c r="H162" s="9" t="s">
        <v>4</v>
      </c>
      <c r="I162" s="9" t="s">
        <v>4</v>
      </c>
      <c r="J162" s="9" t="s">
        <v>4</v>
      </c>
      <c r="K162" s="9" t="s">
        <v>4</v>
      </c>
      <c r="L162" s="9" t="s">
        <v>4</v>
      </c>
      <c r="M162" s="9" t="s">
        <v>4</v>
      </c>
      <c r="N162" s="9" t="s">
        <v>4</v>
      </c>
      <c r="O162" s="9" t="s">
        <v>4</v>
      </c>
      <c r="P162" s="9" t="s">
        <v>4</v>
      </c>
      <c r="Q162" s="9" t="s">
        <v>4</v>
      </c>
      <c r="R162" s="9" t="s">
        <v>4</v>
      </c>
      <c r="S162" s="9" t="s">
        <v>4</v>
      </c>
      <c r="T162" s="9" t="s">
        <v>4</v>
      </c>
      <c r="U162" s="9" t="s">
        <v>4</v>
      </c>
      <c r="V162" s="9" t="s">
        <v>4</v>
      </c>
      <c r="W162" s="9" t="s">
        <v>4</v>
      </c>
      <c r="X162" s="9" t="s">
        <v>4</v>
      </c>
      <c r="Y162" s="9" t="s">
        <v>4</v>
      </c>
      <c r="Z162" s="25" t="s">
        <v>4</v>
      </c>
    </row>
    <row r="163" spans="1:26" x14ac:dyDescent="0.2">
      <c r="A163" s="47"/>
      <c r="B163" s="5" t="s">
        <v>162</v>
      </c>
      <c r="C163" s="9" t="s">
        <v>4</v>
      </c>
      <c r="D163" s="9" t="s">
        <v>4</v>
      </c>
      <c r="E163" s="9" t="s">
        <v>4</v>
      </c>
      <c r="F163" s="9" t="s">
        <v>4</v>
      </c>
      <c r="G163" s="9" t="s">
        <v>4</v>
      </c>
      <c r="H163" s="9" t="s">
        <v>4</v>
      </c>
      <c r="I163" s="9" t="s">
        <v>4</v>
      </c>
      <c r="J163" s="9" t="s">
        <v>4</v>
      </c>
      <c r="K163" s="9" t="s">
        <v>4</v>
      </c>
      <c r="L163" s="9" t="s">
        <v>4</v>
      </c>
      <c r="M163" s="9" t="s">
        <v>4</v>
      </c>
      <c r="N163" s="9" t="s">
        <v>4</v>
      </c>
      <c r="O163" s="9" t="s">
        <v>4</v>
      </c>
      <c r="P163" s="9" t="s">
        <v>4</v>
      </c>
      <c r="Q163" s="9" t="s">
        <v>4</v>
      </c>
      <c r="R163" s="9" t="s">
        <v>4</v>
      </c>
      <c r="S163" s="9" t="s">
        <v>4</v>
      </c>
      <c r="T163" s="9" t="s">
        <v>4</v>
      </c>
      <c r="U163" s="9" t="s">
        <v>4</v>
      </c>
      <c r="V163" s="9" t="s">
        <v>4</v>
      </c>
      <c r="W163" s="9" t="s">
        <v>4</v>
      </c>
      <c r="X163" s="9" t="s">
        <v>4</v>
      </c>
      <c r="Y163" s="9" t="s">
        <v>4</v>
      </c>
      <c r="Z163" s="25" t="s">
        <v>4</v>
      </c>
    </row>
    <row r="164" spans="1:26" x14ac:dyDescent="0.2">
      <c r="A164" s="47"/>
      <c r="B164" s="5" t="s">
        <v>163</v>
      </c>
      <c r="C164" s="9" t="s">
        <v>4</v>
      </c>
      <c r="D164" s="9" t="s">
        <v>4</v>
      </c>
      <c r="E164" s="9" t="s">
        <v>4</v>
      </c>
      <c r="F164" s="9" t="s">
        <v>4</v>
      </c>
      <c r="G164" s="9" t="s">
        <v>4</v>
      </c>
      <c r="H164" s="9" t="s">
        <v>4</v>
      </c>
      <c r="I164" s="9" t="s">
        <v>4</v>
      </c>
      <c r="J164" s="9" t="s">
        <v>4</v>
      </c>
      <c r="K164" s="9" t="s">
        <v>4</v>
      </c>
      <c r="L164" s="9" t="s">
        <v>4</v>
      </c>
      <c r="M164" s="9" t="s">
        <v>4</v>
      </c>
      <c r="N164" s="9" t="s">
        <v>4</v>
      </c>
      <c r="O164" s="9" t="s">
        <v>4</v>
      </c>
      <c r="P164" s="9" t="s">
        <v>4</v>
      </c>
      <c r="Q164" s="9" t="s">
        <v>4</v>
      </c>
      <c r="R164" s="9" t="s">
        <v>4</v>
      </c>
      <c r="S164" s="9" t="s">
        <v>4</v>
      </c>
      <c r="T164" s="9" t="s">
        <v>4</v>
      </c>
      <c r="U164" s="9" t="s">
        <v>4</v>
      </c>
      <c r="V164" s="9" t="s">
        <v>4</v>
      </c>
      <c r="W164" s="9" t="s">
        <v>4</v>
      </c>
      <c r="X164" s="9" t="s">
        <v>4</v>
      </c>
      <c r="Y164" s="9" t="s">
        <v>4</v>
      </c>
      <c r="Z164" s="25" t="s">
        <v>4</v>
      </c>
    </row>
    <row r="165" spans="1:26" x14ac:dyDescent="0.2">
      <c r="A165" s="47"/>
      <c r="B165" s="5" t="s">
        <v>164</v>
      </c>
      <c r="C165" s="9" t="s">
        <v>4</v>
      </c>
      <c r="D165" s="9" t="s">
        <v>4</v>
      </c>
      <c r="E165" s="9" t="s">
        <v>4</v>
      </c>
      <c r="F165" s="9" t="s">
        <v>4</v>
      </c>
      <c r="G165" s="9" t="s">
        <v>4</v>
      </c>
      <c r="H165" s="9" t="s">
        <v>4</v>
      </c>
      <c r="I165" s="9" t="s">
        <v>4</v>
      </c>
      <c r="J165" s="9" t="s">
        <v>4</v>
      </c>
      <c r="K165" s="9" t="s">
        <v>4</v>
      </c>
      <c r="L165" s="9" t="s">
        <v>4</v>
      </c>
      <c r="M165" s="9" t="s">
        <v>4</v>
      </c>
      <c r="N165" s="9" t="s">
        <v>4</v>
      </c>
      <c r="O165" s="9" t="s">
        <v>4</v>
      </c>
      <c r="P165" s="9" t="s">
        <v>4</v>
      </c>
      <c r="Q165" s="9" t="s">
        <v>4</v>
      </c>
      <c r="R165" s="9" t="s">
        <v>4</v>
      </c>
      <c r="S165" s="9" t="s">
        <v>4</v>
      </c>
      <c r="T165" s="9" t="s">
        <v>4</v>
      </c>
      <c r="U165" s="9" t="s">
        <v>4</v>
      </c>
      <c r="V165" s="9" t="s">
        <v>4</v>
      </c>
      <c r="W165" s="9" t="s">
        <v>4</v>
      </c>
      <c r="X165" s="9" t="s">
        <v>4</v>
      </c>
      <c r="Y165" s="9" t="s">
        <v>4</v>
      </c>
      <c r="Z165" s="25" t="s">
        <v>4</v>
      </c>
    </row>
    <row r="166" spans="1:26" x14ac:dyDescent="0.2">
      <c r="A166" s="47"/>
      <c r="B166" s="5" t="s">
        <v>165</v>
      </c>
      <c r="C166" s="9" t="s">
        <v>4</v>
      </c>
      <c r="D166" s="9" t="s">
        <v>4</v>
      </c>
      <c r="E166" s="9" t="s">
        <v>4</v>
      </c>
      <c r="F166" s="9" t="s">
        <v>4</v>
      </c>
      <c r="G166" s="9" t="s">
        <v>4</v>
      </c>
      <c r="H166" s="9" t="s">
        <v>4</v>
      </c>
      <c r="I166" s="9" t="s">
        <v>4</v>
      </c>
      <c r="J166" s="9" t="s">
        <v>4</v>
      </c>
      <c r="K166" s="9" t="s">
        <v>4</v>
      </c>
      <c r="L166" s="9" t="s">
        <v>4</v>
      </c>
      <c r="M166" s="9" t="s">
        <v>4</v>
      </c>
      <c r="N166" s="9" t="s">
        <v>4</v>
      </c>
      <c r="O166" s="9" t="s">
        <v>4</v>
      </c>
      <c r="P166" s="9" t="s">
        <v>4</v>
      </c>
      <c r="Q166" s="9" t="s">
        <v>4</v>
      </c>
      <c r="R166" s="9" t="s">
        <v>4</v>
      </c>
      <c r="S166" s="9" t="s">
        <v>4</v>
      </c>
      <c r="T166" s="9" t="s">
        <v>4</v>
      </c>
      <c r="U166" s="9" t="s">
        <v>4</v>
      </c>
      <c r="V166" s="9" t="s">
        <v>4</v>
      </c>
      <c r="W166" s="9" t="s">
        <v>4</v>
      </c>
      <c r="X166" s="9" t="s">
        <v>4</v>
      </c>
      <c r="Y166" s="9" t="s">
        <v>4</v>
      </c>
      <c r="Z166" s="25" t="s">
        <v>4</v>
      </c>
    </row>
    <row r="167" spans="1:26" x14ac:dyDescent="0.2">
      <c r="A167" s="47"/>
      <c r="B167" s="5" t="s">
        <v>166</v>
      </c>
      <c r="C167" s="9" t="s">
        <v>4</v>
      </c>
      <c r="D167" s="9" t="s">
        <v>4</v>
      </c>
      <c r="E167" s="9" t="s">
        <v>4</v>
      </c>
      <c r="F167" s="9" t="s">
        <v>4</v>
      </c>
      <c r="G167" s="9" t="s">
        <v>4</v>
      </c>
      <c r="H167" s="9" t="s">
        <v>4</v>
      </c>
      <c r="I167" s="9" t="s">
        <v>4</v>
      </c>
      <c r="J167" s="9" t="s">
        <v>4</v>
      </c>
      <c r="K167" s="9" t="s">
        <v>4</v>
      </c>
      <c r="L167" s="9" t="s">
        <v>4</v>
      </c>
      <c r="M167" s="9" t="s">
        <v>4</v>
      </c>
      <c r="N167" s="9" t="s">
        <v>4</v>
      </c>
      <c r="O167" s="9" t="s">
        <v>4</v>
      </c>
      <c r="P167" s="9" t="s">
        <v>4</v>
      </c>
      <c r="Q167" s="9" t="s">
        <v>4</v>
      </c>
      <c r="R167" s="9" t="s">
        <v>4</v>
      </c>
      <c r="S167" s="9" t="s">
        <v>4</v>
      </c>
      <c r="T167" s="9" t="s">
        <v>4</v>
      </c>
      <c r="U167" s="9" t="s">
        <v>4</v>
      </c>
      <c r="V167" s="9" t="s">
        <v>4</v>
      </c>
      <c r="W167" s="9" t="s">
        <v>4</v>
      </c>
      <c r="X167" s="9" t="s">
        <v>4</v>
      </c>
      <c r="Y167" s="9" t="s">
        <v>4</v>
      </c>
      <c r="Z167" s="25" t="s">
        <v>4</v>
      </c>
    </row>
    <row r="168" spans="1:26" x14ac:dyDescent="0.2">
      <c r="A168" s="47"/>
      <c r="B168" s="5" t="s">
        <v>167</v>
      </c>
      <c r="C168" s="9" t="s">
        <v>4</v>
      </c>
      <c r="D168" s="9" t="s">
        <v>4</v>
      </c>
      <c r="E168" s="9" t="s">
        <v>4</v>
      </c>
      <c r="F168" s="9" t="s">
        <v>4</v>
      </c>
      <c r="G168" s="9" t="s">
        <v>4</v>
      </c>
      <c r="H168" s="9" t="s">
        <v>4</v>
      </c>
      <c r="I168" s="9" t="s">
        <v>4</v>
      </c>
      <c r="J168" s="9" t="s">
        <v>4</v>
      </c>
      <c r="K168" s="9" t="s">
        <v>4</v>
      </c>
      <c r="L168" s="9" t="s">
        <v>4</v>
      </c>
      <c r="M168" s="9" t="s">
        <v>4</v>
      </c>
      <c r="N168" s="9" t="s">
        <v>4</v>
      </c>
      <c r="O168" s="9" t="s">
        <v>4</v>
      </c>
      <c r="P168" s="9" t="s">
        <v>4</v>
      </c>
      <c r="Q168" s="9" t="s">
        <v>4</v>
      </c>
      <c r="R168" s="9" t="s">
        <v>4</v>
      </c>
      <c r="S168" s="9" t="s">
        <v>4</v>
      </c>
      <c r="T168" s="9" t="s">
        <v>4</v>
      </c>
      <c r="U168" s="9" t="s">
        <v>4</v>
      </c>
      <c r="V168" s="9" t="s">
        <v>4</v>
      </c>
      <c r="W168" s="9" t="s">
        <v>4</v>
      </c>
      <c r="X168" s="9" t="s">
        <v>4</v>
      </c>
      <c r="Y168" s="9" t="s">
        <v>4</v>
      </c>
      <c r="Z168" s="25" t="s">
        <v>4</v>
      </c>
    </row>
    <row r="169" spans="1:26" x14ac:dyDescent="0.2">
      <c r="A169" s="47"/>
      <c r="B169" s="5" t="s">
        <v>168</v>
      </c>
      <c r="C169" s="9" t="s">
        <v>4</v>
      </c>
      <c r="D169" s="9" t="s">
        <v>4</v>
      </c>
      <c r="E169" s="9" t="s">
        <v>4</v>
      </c>
      <c r="F169" s="9" t="s">
        <v>4</v>
      </c>
      <c r="G169" s="9" t="s">
        <v>4</v>
      </c>
      <c r="H169" s="9" t="s">
        <v>4</v>
      </c>
      <c r="I169" s="9" t="s">
        <v>4</v>
      </c>
      <c r="J169" s="9" t="s">
        <v>4</v>
      </c>
      <c r="K169" s="9" t="s">
        <v>4</v>
      </c>
      <c r="L169" s="9" t="s">
        <v>4</v>
      </c>
      <c r="M169" s="9" t="s">
        <v>4</v>
      </c>
      <c r="N169" s="9" t="s">
        <v>4</v>
      </c>
      <c r="O169" s="9" t="s">
        <v>4</v>
      </c>
      <c r="P169" s="9" t="s">
        <v>4</v>
      </c>
      <c r="Q169" s="9" t="s">
        <v>4</v>
      </c>
      <c r="R169" s="9" t="s">
        <v>4</v>
      </c>
      <c r="S169" s="9" t="s">
        <v>4</v>
      </c>
      <c r="T169" s="9" t="s">
        <v>4</v>
      </c>
      <c r="U169" s="9" t="s">
        <v>4</v>
      </c>
      <c r="V169" s="9" t="s">
        <v>4</v>
      </c>
      <c r="W169" s="9" t="s">
        <v>4</v>
      </c>
      <c r="X169" s="9" t="s">
        <v>4</v>
      </c>
      <c r="Y169" s="9" t="s">
        <v>4</v>
      </c>
      <c r="Z169" s="25" t="s">
        <v>4</v>
      </c>
    </row>
    <row r="170" spans="1:26" x14ac:dyDescent="0.2">
      <c r="A170" s="47"/>
      <c r="B170" s="5" t="s">
        <v>169</v>
      </c>
      <c r="C170" s="9" t="s">
        <v>4</v>
      </c>
      <c r="D170" s="9" t="s">
        <v>4</v>
      </c>
      <c r="E170" s="9" t="s">
        <v>4</v>
      </c>
      <c r="F170" s="9" t="s">
        <v>4</v>
      </c>
      <c r="G170" s="9" t="s">
        <v>4</v>
      </c>
      <c r="H170" s="9" t="s">
        <v>4</v>
      </c>
      <c r="I170" s="9" t="s">
        <v>4</v>
      </c>
      <c r="J170" s="9" t="s">
        <v>4</v>
      </c>
      <c r="K170" s="9" t="s">
        <v>4</v>
      </c>
      <c r="L170" s="9" t="s">
        <v>4</v>
      </c>
      <c r="M170" s="9" t="s">
        <v>4</v>
      </c>
      <c r="N170" s="9" t="s">
        <v>4</v>
      </c>
      <c r="O170" s="9" t="s">
        <v>4</v>
      </c>
      <c r="P170" s="9" t="s">
        <v>4</v>
      </c>
      <c r="Q170" s="9" t="s">
        <v>4</v>
      </c>
      <c r="R170" s="9" t="s">
        <v>4</v>
      </c>
      <c r="S170" s="9" t="s">
        <v>4</v>
      </c>
      <c r="T170" s="9" t="s">
        <v>4</v>
      </c>
      <c r="U170" s="9" t="s">
        <v>4</v>
      </c>
      <c r="V170" s="9" t="s">
        <v>4</v>
      </c>
      <c r="W170" s="9" t="s">
        <v>4</v>
      </c>
      <c r="X170" s="9" t="s">
        <v>4</v>
      </c>
      <c r="Y170" s="9" t="s">
        <v>4</v>
      </c>
      <c r="Z170" s="25" t="s">
        <v>4</v>
      </c>
    </row>
    <row r="171" spans="1:26" x14ac:dyDescent="0.2">
      <c r="A171" s="47"/>
      <c r="B171" s="5" t="s">
        <v>170</v>
      </c>
      <c r="C171" s="9" t="s">
        <v>4</v>
      </c>
      <c r="D171" s="9" t="s">
        <v>4</v>
      </c>
      <c r="E171" s="9" t="s">
        <v>4</v>
      </c>
      <c r="F171" s="9" t="s">
        <v>4</v>
      </c>
      <c r="G171" s="9" t="s">
        <v>4</v>
      </c>
      <c r="H171" s="9" t="s">
        <v>4</v>
      </c>
      <c r="I171" s="9" t="s">
        <v>4</v>
      </c>
      <c r="J171" s="9" t="s">
        <v>4</v>
      </c>
      <c r="K171" s="9" t="s">
        <v>4</v>
      </c>
      <c r="L171" s="9" t="s">
        <v>4</v>
      </c>
      <c r="M171" s="9" t="s">
        <v>4</v>
      </c>
      <c r="N171" s="9" t="s">
        <v>4</v>
      </c>
      <c r="O171" s="9" t="s">
        <v>4</v>
      </c>
      <c r="P171" s="9" t="s">
        <v>4</v>
      </c>
      <c r="Q171" s="9" t="s">
        <v>4</v>
      </c>
      <c r="R171" s="9" t="s">
        <v>4</v>
      </c>
      <c r="S171" s="9" t="s">
        <v>4</v>
      </c>
      <c r="T171" s="9" t="s">
        <v>4</v>
      </c>
      <c r="U171" s="9" t="s">
        <v>4</v>
      </c>
      <c r="V171" s="9" t="s">
        <v>4</v>
      </c>
      <c r="W171" s="9" t="s">
        <v>4</v>
      </c>
      <c r="X171" s="9" t="s">
        <v>4</v>
      </c>
      <c r="Y171" s="9" t="s">
        <v>4</v>
      </c>
      <c r="Z171" s="25" t="s">
        <v>4</v>
      </c>
    </row>
    <row r="172" spans="1:26" ht="15.75" customHeight="1" thickBot="1" x14ac:dyDescent="0.25">
      <c r="A172" s="48"/>
      <c r="B172" s="39" t="s">
        <v>171</v>
      </c>
      <c r="C172" s="27" t="s">
        <v>4</v>
      </c>
      <c r="D172" s="27" t="s">
        <v>4</v>
      </c>
      <c r="E172" s="27" t="s">
        <v>4</v>
      </c>
      <c r="F172" s="27" t="s">
        <v>4</v>
      </c>
      <c r="G172" s="27" t="s">
        <v>4</v>
      </c>
      <c r="H172" s="27" t="s">
        <v>4</v>
      </c>
      <c r="I172" s="27" t="s">
        <v>4</v>
      </c>
      <c r="J172" s="27" t="s">
        <v>4</v>
      </c>
      <c r="K172" s="27" t="s">
        <v>4</v>
      </c>
      <c r="L172" s="27" t="s">
        <v>4</v>
      </c>
      <c r="M172" s="27" t="s">
        <v>4</v>
      </c>
      <c r="N172" s="27" t="s">
        <v>4</v>
      </c>
      <c r="O172" s="27" t="s">
        <v>4</v>
      </c>
      <c r="P172" s="27" t="s">
        <v>4</v>
      </c>
      <c r="Q172" s="27" t="s">
        <v>4</v>
      </c>
      <c r="R172" s="27" t="s">
        <v>4</v>
      </c>
      <c r="S172" s="27" t="s">
        <v>4</v>
      </c>
      <c r="T172" s="27" t="s">
        <v>4</v>
      </c>
      <c r="U172" s="27" t="s">
        <v>4</v>
      </c>
      <c r="V172" s="27" t="s">
        <v>4</v>
      </c>
      <c r="W172" s="27" t="s">
        <v>4</v>
      </c>
      <c r="X172" s="27" t="s">
        <v>4</v>
      </c>
      <c r="Y172" s="27" t="s">
        <v>4</v>
      </c>
      <c r="Z172" s="28" t="s">
        <v>4</v>
      </c>
    </row>
    <row r="173" spans="1:26" ht="15.75" customHeight="1" thickBot="1" x14ac:dyDescent="0.25">
      <c r="A173" s="34"/>
      <c r="B173"/>
      <c r="Z173" s="35"/>
    </row>
    <row r="174" spans="1:26" ht="15.75" customHeight="1" thickBot="1" x14ac:dyDescent="0.25">
      <c r="A174" s="52" t="s">
        <v>172</v>
      </c>
      <c r="B174" s="53"/>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5"/>
    </row>
    <row r="175" spans="1:26" x14ac:dyDescent="0.2">
      <c r="A175" s="46" t="s">
        <v>173</v>
      </c>
      <c r="B175" s="40" t="s">
        <v>174</v>
      </c>
      <c r="C175" s="23" t="s">
        <v>3</v>
      </c>
      <c r="D175" s="23" t="s">
        <v>3</v>
      </c>
      <c r="E175" s="23" t="s">
        <v>4</v>
      </c>
      <c r="F175" s="23" t="s">
        <v>4</v>
      </c>
      <c r="G175" s="23" t="s">
        <v>4</v>
      </c>
      <c r="H175" s="23" t="s">
        <v>4</v>
      </c>
      <c r="I175" s="23" t="s">
        <v>4</v>
      </c>
      <c r="J175" s="23" t="s">
        <v>4</v>
      </c>
      <c r="K175" s="23" t="s">
        <v>4</v>
      </c>
      <c r="L175" s="23" t="s">
        <v>4</v>
      </c>
      <c r="M175" s="23" t="s">
        <v>4</v>
      </c>
      <c r="N175" s="23" t="s">
        <v>4</v>
      </c>
      <c r="O175" s="23" t="s">
        <v>4</v>
      </c>
      <c r="P175" s="23" t="s">
        <v>4</v>
      </c>
      <c r="Q175" s="23" t="s">
        <v>4</v>
      </c>
      <c r="R175" s="23" t="s">
        <v>4</v>
      </c>
      <c r="S175" s="23" t="s">
        <v>4</v>
      </c>
      <c r="T175" s="23" t="s">
        <v>4</v>
      </c>
      <c r="U175" s="23" t="s">
        <v>4</v>
      </c>
      <c r="V175" s="23" t="s">
        <v>4</v>
      </c>
      <c r="W175" s="23" t="s">
        <v>4</v>
      </c>
      <c r="X175" s="23" t="s">
        <v>4</v>
      </c>
      <c r="Y175" s="23" t="s">
        <v>4</v>
      </c>
      <c r="Z175" s="24" t="s">
        <v>4</v>
      </c>
    </row>
    <row r="176" spans="1:26" x14ac:dyDescent="0.2">
      <c r="A176" s="47"/>
      <c r="B176" s="6" t="s">
        <v>175</v>
      </c>
      <c r="C176" s="9" t="s">
        <v>3</v>
      </c>
      <c r="D176" s="9" t="s">
        <v>3</v>
      </c>
      <c r="E176" s="9" t="s">
        <v>4</v>
      </c>
      <c r="F176" s="9" t="s">
        <v>4</v>
      </c>
      <c r="G176" s="9" t="s">
        <v>4</v>
      </c>
      <c r="H176" s="9" t="s">
        <v>4</v>
      </c>
      <c r="I176" s="9" t="s">
        <v>4</v>
      </c>
      <c r="J176" s="9" t="s">
        <v>4</v>
      </c>
      <c r="K176" s="9" t="s">
        <v>4</v>
      </c>
      <c r="L176" s="9" t="s">
        <v>4</v>
      </c>
      <c r="M176" s="9" t="s">
        <v>4</v>
      </c>
      <c r="N176" s="9" t="s">
        <v>4</v>
      </c>
      <c r="O176" s="9" t="s">
        <v>4</v>
      </c>
      <c r="P176" s="9" t="s">
        <v>4</v>
      </c>
      <c r="Q176" s="9" t="s">
        <v>4</v>
      </c>
      <c r="R176" s="9" t="s">
        <v>4</v>
      </c>
      <c r="S176" s="9" t="s">
        <v>4</v>
      </c>
      <c r="T176" s="9" t="s">
        <v>4</v>
      </c>
      <c r="U176" s="9" t="s">
        <v>4</v>
      </c>
      <c r="V176" s="9" t="s">
        <v>4</v>
      </c>
      <c r="W176" s="9" t="s">
        <v>4</v>
      </c>
      <c r="X176" s="9" t="s">
        <v>4</v>
      </c>
      <c r="Y176" s="9" t="s">
        <v>4</v>
      </c>
      <c r="Z176" s="25" t="s">
        <v>4</v>
      </c>
    </row>
    <row r="177" spans="1:26" x14ac:dyDescent="0.2">
      <c r="A177" s="47"/>
      <c r="B177" s="6" t="s">
        <v>176</v>
      </c>
      <c r="C177" s="9" t="s">
        <v>3</v>
      </c>
      <c r="D177" s="9" t="s">
        <v>3</v>
      </c>
      <c r="E177" s="9" t="s">
        <v>4</v>
      </c>
      <c r="F177" s="9" t="s">
        <v>4</v>
      </c>
      <c r="G177" s="9" t="s">
        <v>4</v>
      </c>
      <c r="H177" s="9" t="s">
        <v>4</v>
      </c>
      <c r="I177" s="9" t="s">
        <v>4</v>
      </c>
      <c r="J177" s="9" t="s">
        <v>4</v>
      </c>
      <c r="K177" s="9" t="s">
        <v>4</v>
      </c>
      <c r="L177" s="9" t="s">
        <v>4</v>
      </c>
      <c r="M177" s="9" t="s">
        <v>4</v>
      </c>
      <c r="N177" s="9" t="s">
        <v>4</v>
      </c>
      <c r="O177" s="9" t="s">
        <v>4</v>
      </c>
      <c r="P177" s="9" t="s">
        <v>4</v>
      </c>
      <c r="Q177" s="9" t="s">
        <v>4</v>
      </c>
      <c r="R177" s="9" t="s">
        <v>4</v>
      </c>
      <c r="S177" s="9" t="s">
        <v>4</v>
      </c>
      <c r="T177" s="9" t="s">
        <v>4</v>
      </c>
      <c r="U177" s="9" t="s">
        <v>4</v>
      </c>
      <c r="V177" s="9" t="s">
        <v>4</v>
      </c>
      <c r="W177" s="9" t="s">
        <v>4</v>
      </c>
      <c r="X177" s="9" t="s">
        <v>4</v>
      </c>
      <c r="Y177" s="9" t="s">
        <v>4</v>
      </c>
      <c r="Z177" s="25" t="s">
        <v>4</v>
      </c>
    </row>
    <row r="178" spans="1:26" x14ac:dyDescent="0.2">
      <c r="A178" s="47"/>
      <c r="B178" s="6" t="s">
        <v>177</v>
      </c>
      <c r="C178" s="9" t="s">
        <v>3</v>
      </c>
      <c r="D178" s="9" t="s">
        <v>3</v>
      </c>
      <c r="E178" s="9" t="s">
        <v>4</v>
      </c>
      <c r="F178" s="9" t="s">
        <v>4</v>
      </c>
      <c r="G178" s="9" t="s">
        <v>4</v>
      </c>
      <c r="H178" s="9" t="s">
        <v>4</v>
      </c>
      <c r="I178" s="9" t="s">
        <v>4</v>
      </c>
      <c r="J178" s="9" t="s">
        <v>4</v>
      </c>
      <c r="K178" s="9" t="s">
        <v>4</v>
      </c>
      <c r="L178" s="9" t="s">
        <v>4</v>
      </c>
      <c r="M178" s="9" t="s">
        <v>4</v>
      </c>
      <c r="N178" s="9" t="s">
        <v>4</v>
      </c>
      <c r="O178" s="9" t="s">
        <v>4</v>
      </c>
      <c r="P178" s="9" t="s">
        <v>4</v>
      </c>
      <c r="Q178" s="9" t="s">
        <v>4</v>
      </c>
      <c r="R178" s="9" t="s">
        <v>4</v>
      </c>
      <c r="S178" s="9" t="s">
        <v>4</v>
      </c>
      <c r="T178" s="9" t="s">
        <v>4</v>
      </c>
      <c r="U178" s="9" t="s">
        <v>4</v>
      </c>
      <c r="V178" s="9" t="s">
        <v>4</v>
      </c>
      <c r="W178" s="9" t="s">
        <v>4</v>
      </c>
      <c r="X178" s="9" t="s">
        <v>4</v>
      </c>
      <c r="Y178" s="9" t="s">
        <v>4</v>
      </c>
      <c r="Z178" s="25" t="s">
        <v>4</v>
      </c>
    </row>
    <row r="179" spans="1:26" x14ac:dyDescent="0.2">
      <c r="A179" s="47"/>
      <c r="B179" s="6" t="s">
        <v>178</v>
      </c>
      <c r="C179" s="9" t="s">
        <v>3</v>
      </c>
      <c r="D179" s="9" t="s">
        <v>3</v>
      </c>
      <c r="E179" s="9" t="s">
        <v>4</v>
      </c>
      <c r="F179" s="9" t="s">
        <v>4</v>
      </c>
      <c r="G179" s="9" t="s">
        <v>4</v>
      </c>
      <c r="H179" s="9" t="s">
        <v>4</v>
      </c>
      <c r="I179" s="9" t="s">
        <v>4</v>
      </c>
      <c r="J179" s="9" t="s">
        <v>4</v>
      </c>
      <c r="K179" s="9" t="s">
        <v>4</v>
      </c>
      <c r="L179" s="9" t="s">
        <v>4</v>
      </c>
      <c r="M179" s="9" t="s">
        <v>4</v>
      </c>
      <c r="N179" s="9" t="s">
        <v>4</v>
      </c>
      <c r="O179" s="9" t="s">
        <v>4</v>
      </c>
      <c r="P179" s="9" t="s">
        <v>4</v>
      </c>
      <c r="Q179" s="9" t="s">
        <v>4</v>
      </c>
      <c r="R179" s="9" t="s">
        <v>4</v>
      </c>
      <c r="S179" s="9" t="s">
        <v>4</v>
      </c>
      <c r="T179" s="9" t="s">
        <v>4</v>
      </c>
      <c r="U179" s="9" t="s">
        <v>4</v>
      </c>
      <c r="V179" s="9" t="s">
        <v>4</v>
      </c>
      <c r="W179" s="9" t="s">
        <v>4</v>
      </c>
      <c r="X179" s="9" t="s">
        <v>4</v>
      </c>
      <c r="Y179" s="9" t="s">
        <v>4</v>
      </c>
      <c r="Z179" s="25" t="s">
        <v>4</v>
      </c>
    </row>
    <row r="180" spans="1:26" x14ac:dyDescent="0.2">
      <c r="A180" s="47"/>
      <c r="B180" s="6" t="s">
        <v>124</v>
      </c>
      <c r="C180" s="9" t="s">
        <v>3</v>
      </c>
      <c r="D180" s="9" t="s">
        <v>3</v>
      </c>
      <c r="E180" s="9" t="s">
        <v>4</v>
      </c>
      <c r="F180" s="9" t="s">
        <v>4</v>
      </c>
      <c r="G180" s="9" t="s">
        <v>4</v>
      </c>
      <c r="H180" s="9" t="s">
        <v>4</v>
      </c>
      <c r="I180" s="9" t="s">
        <v>4</v>
      </c>
      <c r="J180" s="9" t="s">
        <v>4</v>
      </c>
      <c r="K180" s="9" t="s">
        <v>4</v>
      </c>
      <c r="L180" s="9" t="s">
        <v>4</v>
      </c>
      <c r="M180" s="9" t="s">
        <v>4</v>
      </c>
      <c r="N180" s="9" t="s">
        <v>4</v>
      </c>
      <c r="O180" s="9" t="s">
        <v>4</v>
      </c>
      <c r="P180" s="9" t="s">
        <v>4</v>
      </c>
      <c r="Q180" s="9" t="s">
        <v>4</v>
      </c>
      <c r="R180" s="9" t="s">
        <v>4</v>
      </c>
      <c r="S180" s="9" t="s">
        <v>4</v>
      </c>
      <c r="T180" s="9" t="s">
        <v>4</v>
      </c>
      <c r="U180" s="9" t="s">
        <v>4</v>
      </c>
      <c r="V180" s="9" t="s">
        <v>4</v>
      </c>
      <c r="W180" s="9" t="s">
        <v>4</v>
      </c>
      <c r="X180" s="9" t="s">
        <v>4</v>
      </c>
      <c r="Y180" s="9" t="s">
        <v>4</v>
      </c>
      <c r="Z180" s="25" t="s">
        <v>4</v>
      </c>
    </row>
    <row r="181" spans="1:26" x14ac:dyDescent="0.2">
      <c r="A181" s="47"/>
      <c r="B181" s="6" t="s">
        <v>179</v>
      </c>
      <c r="C181" s="9" t="s">
        <v>3</v>
      </c>
      <c r="D181" s="9" t="s">
        <v>3</v>
      </c>
      <c r="E181" s="9" t="s">
        <v>4</v>
      </c>
      <c r="F181" s="9" t="s">
        <v>4</v>
      </c>
      <c r="G181" s="9" t="s">
        <v>4</v>
      </c>
      <c r="H181" s="9" t="s">
        <v>4</v>
      </c>
      <c r="I181" s="9" t="s">
        <v>4</v>
      </c>
      <c r="J181" s="9" t="s">
        <v>4</v>
      </c>
      <c r="K181" s="9" t="s">
        <v>4</v>
      </c>
      <c r="L181" s="9" t="s">
        <v>4</v>
      </c>
      <c r="M181" s="9" t="s">
        <v>4</v>
      </c>
      <c r="N181" s="9" t="s">
        <v>4</v>
      </c>
      <c r="O181" s="9" t="s">
        <v>4</v>
      </c>
      <c r="P181" s="9" t="s">
        <v>4</v>
      </c>
      <c r="Q181" s="9" t="s">
        <v>4</v>
      </c>
      <c r="R181" s="9" t="s">
        <v>4</v>
      </c>
      <c r="S181" s="9" t="s">
        <v>4</v>
      </c>
      <c r="T181" s="9" t="s">
        <v>4</v>
      </c>
      <c r="U181" s="9" t="s">
        <v>4</v>
      </c>
      <c r="V181" s="9" t="s">
        <v>4</v>
      </c>
      <c r="W181" s="9" t="s">
        <v>4</v>
      </c>
      <c r="X181" s="9" t="s">
        <v>4</v>
      </c>
      <c r="Y181" s="9" t="s">
        <v>4</v>
      </c>
      <c r="Z181" s="25" t="s">
        <v>4</v>
      </c>
    </row>
    <row r="182" spans="1:26" x14ac:dyDescent="0.2">
      <c r="A182" s="47"/>
      <c r="B182" s="6" t="s">
        <v>180</v>
      </c>
      <c r="C182" s="9" t="s">
        <v>3</v>
      </c>
      <c r="D182" s="9" t="s">
        <v>3</v>
      </c>
      <c r="E182" s="9" t="s">
        <v>4</v>
      </c>
      <c r="F182" s="9" t="s">
        <v>4</v>
      </c>
      <c r="G182" s="9" t="s">
        <v>4</v>
      </c>
      <c r="H182" s="9" t="s">
        <v>4</v>
      </c>
      <c r="I182" s="9" t="s">
        <v>4</v>
      </c>
      <c r="J182" s="9" t="s">
        <v>4</v>
      </c>
      <c r="K182" s="9" t="s">
        <v>4</v>
      </c>
      <c r="L182" s="9" t="s">
        <v>4</v>
      </c>
      <c r="M182" s="9" t="s">
        <v>4</v>
      </c>
      <c r="N182" s="9" t="s">
        <v>4</v>
      </c>
      <c r="O182" s="9" t="s">
        <v>4</v>
      </c>
      <c r="P182" s="9" t="s">
        <v>4</v>
      </c>
      <c r="Q182" s="9" t="s">
        <v>4</v>
      </c>
      <c r="R182" s="9" t="s">
        <v>4</v>
      </c>
      <c r="S182" s="9" t="s">
        <v>4</v>
      </c>
      <c r="T182" s="9" t="s">
        <v>4</v>
      </c>
      <c r="U182" s="9" t="s">
        <v>4</v>
      </c>
      <c r="V182" s="9" t="s">
        <v>4</v>
      </c>
      <c r="W182" s="9" t="s">
        <v>4</v>
      </c>
      <c r="X182" s="9" t="s">
        <v>4</v>
      </c>
      <c r="Y182" s="9" t="s">
        <v>4</v>
      </c>
      <c r="Z182" s="25" t="s">
        <v>4</v>
      </c>
    </row>
    <row r="183" spans="1:26" x14ac:dyDescent="0.2">
      <c r="A183" s="47"/>
      <c r="B183" s="6" t="s">
        <v>181</v>
      </c>
      <c r="C183" s="9" t="s">
        <v>3</v>
      </c>
      <c r="D183" s="9" t="s">
        <v>3</v>
      </c>
      <c r="E183" s="9" t="s">
        <v>4</v>
      </c>
      <c r="F183" s="9" t="s">
        <v>4</v>
      </c>
      <c r="G183" s="9" t="s">
        <v>4</v>
      </c>
      <c r="H183" s="9" t="s">
        <v>4</v>
      </c>
      <c r="I183" s="9" t="s">
        <v>4</v>
      </c>
      <c r="J183" s="9" t="s">
        <v>4</v>
      </c>
      <c r="K183" s="9" t="s">
        <v>4</v>
      </c>
      <c r="L183" s="9" t="s">
        <v>4</v>
      </c>
      <c r="M183" s="9" t="s">
        <v>4</v>
      </c>
      <c r="N183" s="9" t="s">
        <v>4</v>
      </c>
      <c r="O183" s="9" t="s">
        <v>4</v>
      </c>
      <c r="P183" s="9" t="s">
        <v>4</v>
      </c>
      <c r="Q183" s="9" t="s">
        <v>4</v>
      </c>
      <c r="R183" s="9" t="s">
        <v>4</v>
      </c>
      <c r="S183" s="9" t="s">
        <v>4</v>
      </c>
      <c r="T183" s="9" t="s">
        <v>4</v>
      </c>
      <c r="U183" s="9" t="s">
        <v>4</v>
      </c>
      <c r="V183" s="9" t="s">
        <v>4</v>
      </c>
      <c r="W183" s="9" t="s">
        <v>4</v>
      </c>
      <c r="X183" s="9" t="s">
        <v>4</v>
      </c>
      <c r="Y183" s="9" t="s">
        <v>4</v>
      </c>
      <c r="Z183" s="25" t="s">
        <v>4</v>
      </c>
    </row>
    <row r="184" spans="1:26" x14ac:dyDescent="0.2">
      <c r="A184" s="47"/>
      <c r="B184" s="6" t="s">
        <v>182</v>
      </c>
      <c r="C184" s="9" t="s">
        <v>4</v>
      </c>
      <c r="D184" s="9" t="s">
        <v>4</v>
      </c>
      <c r="E184" s="9" t="s">
        <v>4</v>
      </c>
      <c r="F184" s="9" t="s">
        <v>4</v>
      </c>
      <c r="G184" s="9" t="s">
        <v>4</v>
      </c>
      <c r="H184" s="9" t="s">
        <v>4</v>
      </c>
      <c r="I184" s="9" t="s">
        <v>4</v>
      </c>
      <c r="J184" s="9" t="s">
        <v>4</v>
      </c>
      <c r="K184" s="9" t="s">
        <v>4</v>
      </c>
      <c r="L184" s="9" t="s">
        <v>4</v>
      </c>
      <c r="M184" s="9" t="s">
        <v>4</v>
      </c>
      <c r="N184" s="9" t="s">
        <v>4</v>
      </c>
      <c r="O184" s="9" t="s">
        <v>4</v>
      </c>
      <c r="P184" s="9" t="s">
        <v>4</v>
      </c>
      <c r="Q184" s="9" t="s">
        <v>4</v>
      </c>
      <c r="R184" s="9" t="s">
        <v>4</v>
      </c>
      <c r="S184" s="9" t="s">
        <v>4</v>
      </c>
      <c r="T184" s="9" t="s">
        <v>4</v>
      </c>
      <c r="U184" s="9" t="s">
        <v>4</v>
      </c>
      <c r="V184" s="9" t="s">
        <v>4</v>
      </c>
      <c r="W184" s="9" t="s">
        <v>4</v>
      </c>
      <c r="X184" s="9" t="s">
        <v>4</v>
      </c>
      <c r="Y184" s="9" t="s">
        <v>4</v>
      </c>
      <c r="Z184" s="25" t="s">
        <v>4</v>
      </c>
    </row>
    <row r="185" spans="1:26" x14ac:dyDescent="0.2">
      <c r="A185" s="47"/>
      <c r="B185" s="6" t="s">
        <v>183</v>
      </c>
      <c r="C185" s="9" t="s">
        <v>4</v>
      </c>
      <c r="D185" s="9" t="s">
        <v>4</v>
      </c>
      <c r="E185" s="9" t="s">
        <v>4</v>
      </c>
      <c r="F185" s="9" t="s">
        <v>4</v>
      </c>
      <c r="G185" s="9" t="s">
        <v>4</v>
      </c>
      <c r="H185" s="9" t="s">
        <v>4</v>
      </c>
      <c r="I185" s="9" t="s">
        <v>4</v>
      </c>
      <c r="J185" s="9" t="s">
        <v>4</v>
      </c>
      <c r="K185" s="9" t="s">
        <v>4</v>
      </c>
      <c r="L185" s="9" t="s">
        <v>4</v>
      </c>
      <c r="M185" s="9" t="s">
        <v>4</v>
      </c>
      <c r="N185" s="9" t="s">
        <v>4</v>
      </c>
      <c r="O185" s="9" t="s">
        <v>4</v>
      </c>
      <c r="P185" s="9" t="s">
        <v>4</v>
      </c>
      <c r="Q185" s="9" t="s">
        <v>4</v>
      </c>
      <c r="R185" s="9" t="s">
        <v>4</v>
      </c>
      <c r="S185" s="9" t="s">
        <v>4</v>
      </c>
      <c r="T185" s="9" t="s">
        <v>4</v>
      </c>
      <c r="U185" s="9" t="s">
        <v>4</v>
      </c>
      <c r="V185" s="9" t="s">
        <v>4</v>
      </c>
      <c r="W185" s="9" t="s">
        <v>4</v>
      </c>
      <c r="X185" s="9" t="s">
        <v>4</v>
      </c>
      <c r="Y185" s="9" t="s">
        <v>4</v>
      </c>
      <c r="Z185" s="25" t="s">
        <v>4</v>
      </c>
    </row>
    <row r="186" spans="1:26" x14ac:dyDescent="0.2">
      <c r="A186" s="47"/>
      <c r="B186" s="6" t="s">
        <v>184</v>
      </c>
      <c r="C186" s="9" t="s">
        <v>4</v>
      </c>
      <c r="D186" s="9" t="s">
        <v>4</v>
      </c>
      <c r="E186" s="9" t="s">
        <v>4</v>
      </c>
      <c r="F186" s="9" t="s">
        <v>4</v>
      </c>
      <c r="G186" s="9" t="s">
        <v>4</v>
      </c>
      <c r="H186" s="9" t="s">
        <v>4</v>
      </c>
      <c r="I186" s="9" t="s">
        <v>4</v>
      </c>
      <c r="J186" s="9" t="s">
        <v>4</v>
      </c>
      <c r="K186" s="9" t="s">
        <v>4</v>
      </c>
      <c r="L186" s="9" t="s">
        <v>4</v>
      </c>
      <c r="M186" s="9" t="s">
        <v>4</v>
      </c>
      <c r="N186" s="9" t="s">
        <v>4</v>
      </c>
      <c r="O186" s="9" t="s">
        <v>4</v>
      </c>
      <c r="P186" s="9" t="s">
        <v>4</v>
      </c>
      <c r="Q186" s="9" t="s">
        <v>4</v>
      </c>
      <c r="R186" s="9" t="s">
        <v>4</v>
      </c>
      <c r="S186" s="9" t="s">
        <v>4</v>
      </c>
      <c r="T186" s="9" t="s">
        <v>4</v>
      </c>
      <c r="U186" s="9" t="s">
        <v>4</v>
      </c>
      <c r="V186" s="9" t="s">
        <v>4</v>
      </c>
      <c r="W186" s="9" t="s">
        <v>4</v>
      </c>
      <c r="X186" s="9" t="s">
        <v>4</v>
      </c>
      <c r="Y186" s="9" t="s">
        <v>4</v>
      </c>
      <c r="Z186" s="25" t="s">
        <v>4</v>
      </c>
    </row>
    <row r="187" spans="1:26" x14ac:dyDescent="0.2">
      <c r="A187" s="47"/>
      <c r="B187" s="6" t="s">
        <v>135</v>
      </c>
      <c r="C187" s="9" t="s">
        <v>4</v>
      </c>
      <c r="D187" s="9" t="s">
        <v>4</v>
      </c>
      <c r="E187" s="9" t="s">
        <v>4</v>
      </c>
      <c r="F187" s="9" t="s">
        <v>4</v>
      </c>
      <c r="G187" s="9" t="s">
        <v>4</v>
      </c>
      <c r="H187" s="9" t="s">
        <v>4</v>
      </c>
      <c r="I187" s="9" t="s">
        <v>4</v>
      </c>
      <c r="J187" s="9" t="s">
        <v>4</v>
      </c>
      <c r="K187" s="9" t="s">
        <v>4</v>
      </c>
      <c r="L187" s="9" t="s">
        <v>4</v>
      </c>
      <c r="M187" s="9" t="s">
        <v>4</v>
      </c>
      <c r="N187" s="9" t="s">
        <v>4</v>
      </c>
      <c r="O187" s="9" t="s">
        <v>4</v>
      </c>
      <c r="P187" s="9" t="s">
        <v>4</v>
      </c>
      <c r="Q187" s="9" t="s">
        <v>4</v>
      </c>
      <c r="R187" s="9" t="s">
        <v>4</v>
      </c>
      <c r="S187" s="9" t="s">
        <v>4</v>
      </c>
      <c r="T187" s="9" t="s">
        <v>4</v>
      </c>
      <c r="U187" s="9" t="s">
        <v>4</v>
      </c>
      <c r="V187" s="9" t="s">
        <v>4</v>
      </c>
      <c r="W187" s="9" t="s">
        <v>4</v>
      </c>
      <c r="X187" s="9" t="s">
        <v>4</v>
      </c>
      <c r="Y187" s="9" t="s">
        <v>4</v>
      </c>
      <c r="Z187" s="25" t="s">
        <v>4</v>
      </c>
    </row>
    <row r="188" spans="1:26" x14ac:dyDescent="0.2">
      <c r="A188" s="47"/>
      <c r="B188" s="6" t="s">
        <v>185</v>
      </c>
      <c r="C188" s="9" t="s">
        <v>4</v>
      </c>
      <c r="D188" s="9" t="s">
        <v>4</v>
      </c>
      <c r="E188" s="9" t="s">
        <v>4</v>
      </c>
      <c r="F188" s="9" t="s">
        <v>4</v>
      </c>
      <c r="G188" s="9" t="s">
        <v>4</v>
      </c>
      <c r="H188" s="9" t="s">
        <v>4</v>
      </c>
      <c r="I188" s="9" t="s">
        <v>4</v>
      </c>
      <c r="J188" s="9" t="s">
        <v>4</v>
      </c>
      <c r="K188" s="9" t="s">
        <v>4</v>
      </c>
      <c r="L188" s="9" t="s">
        <v>4</v>
      </c>
      <c r="M188" s="9" t="s">
        <v>4</v>
      </c>
      <c r="N188" s="9" t="s">
        <v>4</v>
      </c>
      <c r="O188" s="9" t="s">
        <v>4</v>
      </c>
      <c r="P188" s="9" t="s">
        <v>4</v>
      </c>
      <c r="Q188" s="9" t="s">
        <v>4</v>
      </c>
      <c r="R188" s="9" t="s">
        <v>4</v>
      </c>
      <c r="S188" s="9" t="s">
        <v>4</v>
      </c>
      <c r="T188" s="9" t="s">
        <v>4</v>
      </c>
      <c r="U188" s="9" t="s">
        <v>4</v>
      </c>
      <c r="V188" s="9" t="s">
        <v>4</v>
      </c>
      <c r="W188" s="9" t="s">
        <v>4</v>
      </c>
      <c r="X188" s="9" t="s">
        <v>4</v>
      </c>
      <c r="Y188" s="9" t="s">
        <v>4</v>
      </c>
      <c r="Z188" s="25" t="s">
        <v>4</v>
      </c>
    </row>
    <row r="189" spans="1:26" x14ac:dyDescent="0.2">
      <c r="A189" s="47"/>
      <c r="B189" s="6" t="s">
        <v>186</v>
      </c>
      <c r="C189" s="9" t="s">
        <v>4</v>
      </c>
      <c r="D189" s="9" t="s">
        <v>4</v>
      </c>
      <c r="E189" s="9" t="s">
        <v>4</v>
      </c>
      <c r="F189" s="9" t="s">
        <v>4</v>
      </c>
      <c r="G189" s="9" t="s">
        <v>4</v>
      </c>
      <c r="H189" s="9" t="s">
        <v>4</v>
      </c>
      <c r="I189" s="9" t="s">
        <v>4</v>
      </c>
      <c r="J189" s="9" t="s">
        <v>4</v>
      </c>
      <c r="K189" s="9" t="s">
        <v>4</v>
      </c>
      <c r="L189" s="9" t="s">
        <v>4</v>
      </c>
      <c r="M189" s="9" t="s">
        <v>4</v>
      </c>
      <c r="N189" s="9" t="s">
        <v>4</v>
      </c>
      <c r="O189" s="9" t="s">
        <v>4</v>
      </c>
      <c r="P189" s="9" t="s">
        <v>4</v>
      </c>
      <c r="Q189" s="9" t="s">
        <v>4</v>
      </c>
      <c r="R189" s="9" t="s">
        <v>4</v>
      </c>
      <c r="S189" s="9" t="s">
        <v>4</v>
      </c>
      <c r="T189" s="9" t="s">
        <v>4</v>
      </c>
      <c r="U189" s="9" t="s">
        <v>4</v>
      </c>
      <c r="V189" s="9" t="s">
        <v>4</v>
      </c>
      <c r="W189" s="9" t="s">
        <v>4</v>
      </c>
      <c r="X189" s="9" t="s">
        <v>4</v>
      </c>
      <c r="Y189" s="9" t="s">
        <v>4</v>
      </c>
      <c r="Z189" s="25" t="s">
        <v>4</v>
      </c>
    </row>
    <row r="190" spans="1:26" x14ac:dyDescent="0.2">
      <c r="A190" s="47"/>
      <c r="B190" s="6" t="s">
        <v>187</v>
      </c>
      <c r="C190" s="9" t="s">
        <v>4</v>
      </c>
      <c r="D190" s="9" t="s">
        <v>4</v>
      </c>
      <c r="E190" s="9" t="s">
        <v>4</v>
      </c>
      <c r="F190" s="9" t="s">
        <v>4</v>
      </c>
      <c r="G190" s="9" t="s">
        <v>4</v>
      </c>
      <c r="H190" s="9" t="s">
        <v>4</v>
      </c>
      <c r="I190" s="9" t="s">
        <v>4</v>
      </c>
      <c r="J190" s="9" t="s">
        <v>4</v>
      </c>
      <c r="K190" s="9" t="s">
        <v>4</v>
      </c>
      <c r="L190" s="9" t="s">
        <v>4</v>
      </c>
      <c r="M190" s="9" t="s">
        <v>4</v>
      </c>
      <c r="N190" s="9" t="s">
        <v>4</v>
      </c>
      <c r="O190" s="9" t="s">
        <v>4</v>
      </c>
      <c r="P190" s="9" t="s">
        <v>4</v>
      </c>
      <c r="Q190" s="9" t="s">
        <v>4</v>
      </c>
      <c r="R190" s="9" t="s">
        <v>4</v>
      </c>
      <c r="S190" s="9" t="s">
        <v>4</v>
      </c>
      <c r="T190" s="9" t="s">
        <v>4</v>
      </c>
      <c r="U190" s="9" t="s">
        <v>4</v>
      </c>
      <c r="V190" s="9" t="s">
        <v>4</v>
      </c>
      <c r="W190" s="9" t="s">
        <v>4</v>
      </c>
      <c r="X190" s="9" t="s">
        <v>4</v>
      </c>
      <c r="Y190" s="9" t="s">
        <v>4</v>
      </c>
      <c r="Z190" s="25" t="s">
        <v>4</v>
      </c>
    </row>
    <row r="191" spans="1:26" x14ac:dyDescent="0.2">
      <c r="A191" s="47"/>
      <c r="B191" s="6" t="s">
        <v>188</v>
      </c>
      <c r="C191" s="9" t="s">
        <v>4</v>
      </c>
      <c r="D191" s="9" t="s">
        <v>4</v>
      </c>
      <c r="E191" s="9" t="s">
        <v>4</v>
      </c>
      <c r="F191" s="9" t="s">
        <v>4</v>
      </c>
      <c r="G191" s="9" t="s">
        <v>4</v>
      </c>
      <c r="H191" s="9" t="s">
        <v>4</v>
      </c>
      <c r="I191" s="9" t="s">
        <v>4</v>
      </c>
      <c r="J191" s="9" t="s">
        <v>4</v>
      </c>
      <c r="K191" s="9" t="s">
        <v>4</v>
      </c>
      <c r="L191" s="9" t="s">
        <v>4</v>
      </c>
      <c r="M191" s="9" t="s">
        <v>4</v>
      </c>
      <c r="N191" s="9" t="s">
        <v>4</v>
      </c>
      <c r="O191" s="9" t="s">
        <v>4</v>
      </c>
      <c r="P191" s="9" t="s">
        <v>4</v>
      </c>
      <c r="Q191" s="9" t="s">
        <v>4</v>
      </c>
      <c r="R191" s="9" t="s">
        <v>4</v>
      </c>
      <c r="S191" s="9" t="s">
        <v>4</v>
      </c>
      <c r="T191" s="9" t="s">
        <v>4</v>
      </c>
      <c r="U191" s="9" t="s">
        <v>4</v>
      </c>
      <c r="V191" s="9" t="s">
        <v>4</v>
      </c>
      <c r="W191" s="9" t="s">
        <v>4</v>
      </c>
      <c r="X191" s="9" t="s">
        <v>4</v>
      </c>
      <c r="Y191" s="9" t="s">
        <v>4</v>
      </c>
      <c r="Z191" s="25" t="s">
        <v>4</v>
      </c>
    </row>
    <row r="192" spans="1:26" ht="15.75" customHeight="1" thickBot="1" x14ac:dyDescent="0.25">
      <c r="A192" s="48"/>
      <c r="B192" s="41" t="s">
        <v>189</v>
      </c>
      <c r="C192" s="27" t="s">
        <v>4</v>
      </c>
      <c r="D192" s="27" t="s">
        <v>4</v>
      </c>
      <c r="E192" s="27" t="s">
        <v>4</v>
      </c>
      <c r="F192" s="27" t="s">
        <v>4</v>
      </c>
      <c r="G192" s="27" t="s">
        <v>4</v>
      </c>
      <c r="H192" s="27" t="s">
        <v>4</v>
      </c>
      <c r="I192" s="27" t="s">
        <v>4</v>
      </c>
      <c r="J192" s="27" t="s">
        <v>4</v>
      </c>
      <c r="K192" s="27" t="s">
        <v>4</v>
      </c>
      <c r="L192" s="27" t="s">
        <v>4</v>
      </c>
      <c r="M192" s="27" t="s">
        <v>4</v>
      </c>
      <c r="N192" s="27" t="s">
        <v>4</v>
      </c>
      <c r="O192" s="27" t="s">
        <v>4</v>
      </c>
      <c r="P192" s="27" t="s">
        <v>4</v>
      </c>
      <c r="Q192" s="27" t="s">
        <v>4</v>
      </c>
      <c r="R192" s="27" t="s">
        <v>4</v>
      </c>
      <c r="S192" s="27" t="s">
        <v>4</v>
      </c>
      <c r="T192" s="27" t="s">
        <v>4</v>
      </c>
      <c r="U192" s="27" t="s">
        <v>4</v>
      </c>
      <c r="V192" s="27" t="s">
        <v>4</v>
      </c>
      <c r="W192" s="27" t="s">
        <v>4</v>
      </c>
      <c r="X192" s="27" t="s">
        <v>4</v>
      </c>
      <c r="Y192" s="27" t="s">
        <v>4</v>
      </c>
      <c r="Z192" s="28" t="s">
        <v>4</v>
      </c>
    </row>
    <row r="193" spans="1:26" x14ac:dyDescent="0.2">
      <c r="A193" s="46" t="s">
        <v>190</v>
      </c>
      <c r="B193" s="40" t="s">
        <v>191</v>
      </c>
      <c r="C193" s="23" t="s">
        <v>3</v>
      </c>
      <c r="D193" s="23" t="s">
        <v>3</v>
      </c>
      <c r="E193" s="23" t="s">
        <v>4</v>
      </c>
      <c r="F193" s="23" t="s">
        <v>4</v>
      </c>
      <c r="G193" s="23" t="s">
        <v>4</v>
      </c>
      <c r="H193" s="23" t="s">
        <v>4</v>
      </c>
      <c r="I193" s="23" t="s">
        <v>4</v>
      </c>
      <c r="J193" s="23" t="s">
        <v>4</v>
      </c>
      <c r="K193" s="23" t="s">
        <v>4</v>
      </c>
      <c r="L193" s="23" t="s">
        <v>4</v>
      </c>
      <c r="M193" s="23" t="s">
        <v>4</v>
      </c>
      <c r="N193" s="23" t="s">
        <v>4</v>
      </c>
      <c r="O193" s="23" t="s">
        <v>4</v>
      </c>
      <c r="P193" s="23" t="s">
        <v>4</v>
      </c>
      <c r="Q193" s="23" t="s">
        <v>4</v>
      </c>
      <c r="R193" s="23" t="s">
        <v>4</v>
      </c>
      <c r="S193" s="23" t="s">
        <v>4</v>
      </c>
      <c r="T193" s="23" t="s">
        <v>4</v>
      </c>
      <c r="U193" s="23" t="s">
        <v>4</v>
      </c>
      <c r="V193" s="23" t="s">
        <v>4</v>
      </c>
      <c r="W193" s="23" t="s">
        <v>4</v>
      </c>
      <c r="X193" s="23" t="s">
        <v>4</v>
      </c>
      <c r="Y193" s="23" t="s">
        <v>4</v>
      </c>
      <c r="Z193" s="24" t="s">
        <v>4</v>
      </c>
    </row>
    <row r="194" spans="1:26" x14ac:dyDescent="0.2">
      <c r="A194" s="47"/>
      <c r="B194" s="6" t="s">
        <v>192</v>
      </c>
      <c r="C194" s="9" t="s">
        <v>3</v>
      </c>
      <c r="D194" s="9" t="s">
        <v>3</v>
      </c>
      <c r="E194" s="9" t="s">
        <v>4</v>
      </c>
      <c r="F194" s="9" t="s">
        <v>4</v>
      </c>
      <c r="G194" s="9" t="s">
        <v>4</v>
      </c>
      <c r="H194" s="9" t="s">
        <v>4</v>
      </c>
      <c r="I194" s="9" t="s">
        <v>4</v>
      </c>
      <c r="J194" s="9" t="s">
        <v>4</v>
      </c>
      <c r="K194" s="9" t="s">
        <v>4</v>
      </c>
      <c r="L194" s="9" t="s">
        <v>4</v>
      </c>
      <c r="M194" s="9" t="s">
        <v>4</v>
      </c>
      <c r="N194" s="9" t="s">
        <v>4</v>
      </c>
      <c r="O194" s="9" t="s">
        <v>4</v>
      </c>
      <c r="P194" s="9" t="s">
        <v>4</v>
      </c>
      <c r="Q194" s="9" t="s">
        <v>4</v>
      </c>
      <c r="R194" s="9" t="s">
        <v>4</v>
      </c>
      <c r="S194" s="9" t="s">
        <v>4</v>
      </c>
      <c r="T194" s="9" t="s">
        <v>4</v>
      </c>
      <c r="U194" s="9" t="s">
        <v>4</v>
      </c>
      <c r="V194" s="9" t="s">
        <v>4</v>
      </c>
      <c r="W194" s="9" t="s">
        <v>4</v>
      </c>
      <c r="X194" s="9" t="s">
        <v>4</v>
      </c>
      <c r="Y194" s="9" t="s">
        <v>4</v>
      </c>
      <c r="Z194" s="25" t="s">
        <v>4</v>
      </c>
    </row>
    <row r="195" spans="1:26" x14ac:dyDescent="0.2">
      <c r="A195" s="47"/>
      <c r="B195" s="6" t="s">
        <v>13</v>
      </c>
      <c r="C195" s="9" t="s">
        <v>3</v>
      </c>
      <c r="D195" s="9" t="s">
        <v>3</v>
      </c>
      <c r="E195" s="9" t="s">
        <v>4</v>
      </c>
      <c r="F195" s="9" t="s">
        <v>4</v>
      </c>
      <c r="G195" s="9" t="s">
        <v>4</v>
      </c>
      <c r="H195" s="9" t="s">
        <v>4</v>
      </c>
      <c r="I195" s="9" t="s">
        <v>4</v>
      </c>
      <c r="J195" s="9" t="s">
        <v>4</v>
      </c>
      <c r="K195" s="9" t="s">
        <v>4</v>
      </c>
      <c r="L195" s="9" t="s">
        <v>4</v>
      </c>
      <c r="M195" s="9" t="s">
        <v>4</v>
      </c>
      <c r="N195" s="9" t="s">
        <v>4</v>
      </c>
      <c r="O195" s="9" t="s">
        <v>4</v>
      </c>
      <c r="P195" s="9" t="s">
        <v>4</v>
      </c>
      <c r="Q195" s="9" t="s">
        <v>4</v>
      </c>
      <c r="R195" s="9" t="s">
        <v>4</v>
      </c>
      <c r="S195" s="9" t="s">
        <v>4</v>
      </c>
      <c r="T195" s="9" t="s">
        <v>4</v>
      </c>
      <c r="U195" s="9" t="s">
        <v>4</v>
      </c>
      <c r="V195" s="9" t="s">
        <v>4</v>
      </c>
      <c r="W195" s="9" t="s">
        <v>4</v>
      </c>
      <c r="X195" s="9" t="s">
        <v>4</v>
      </c>
      <c r="Y195" s="9" t="s">
        <v>4</v>
      </c>
      <c r="Z195" s="25" t="s">
        <v>4</v>
      </c>
    </row>
    <row r="196" spans="1:26" x14ac:dyDescent="0.2">
      <c r="A196" s="47"/>
      <c r="B196" s="6" t="s">
        <v>174</v>
      </c>
      <c r="C196" s="9" t="s">
        <v>3</v>
      </c>
      <c r="D196" s="9" t="s">
        <v>3</v>
      </c>
      <c r="E196" s="9" t="s">
        <v>4</v>
      </c>
      <c r="F196" s="9" t="s">
        <v>4</v>
      </c>
      <c r="G196" s="9" t="s">
        <v>4</v>
      </c>
      <c r="H196" s="9" t="s">
        <v>4</v>
      </c>
      <c r="I196" s="9" t="s">
        <v>4</v>
      </c>
      <c r="J196" s="9" t="s">
        <v>4</v>
      </c>
      <c r="K196" s="9" t="s">
        <v>4</v>
      </c>
      <c r="L196" s="9" t="s">
        <v>4</v>
      </c>
      <c r="M196" s="9" t="s">
        <v>4</v>
      </c>
      <c r="N196" s="9" t="s">
        <v>4</v>
      </c>
      <c r="O196" s="9" t="s">
        <v>4</v>
      </c>
      <c r="P196" s="9" t="s">
        <v>4</v>
      </c>
      <c r="Q196" s="9" t="s">
        <v>4</v>
      </c>
      <c r="R196" s="9" t="s">
        <v>4</v>
      </c>
      <c r="S196" s="9" t="s">
        <v>4</v>
      </c>
      <c r="T196" s="9" t="s">
        <v>4</v>
      </c>
      <c r="U196" s="9" t="s">
        <v>4</v>
      </c>
      <c r="V196" s="9" t="s">
        <v>4</v>
      </c>
      <c r="W196" s="9" t="s">
        <v>4</v>
      </c>
      <c r="X196" s="9" t="s">
        <v>4</v>
      </c>
      <c r="Y196" s="9" t="s">
        <v>4</v>
      </c>
      <c r="Z196" s="25" t="s">
        <v>4</v>
      </c>
    </row>
    <row r="197" spans="1:26" x14ac:dyDescent="0.2">
      <c r="A197" s="47"/>
      <c r="B197" s="6" t="s">
        <v>175</v>
      </c>
      <c r="C197" s="9" t="s">
        <v>3</v>
      </c>
      <c r="D197" s="9" t="s">
        <v>3</v>
      </c>
      <c r="E197" s="9" t="s">
        <v>4</v>
      </c>
      <c r="F197" s="9" t="s">
        <v>4</v>
      </c>
      <c r="G197" s="9" t="s">
        <v>4</v>
      </c>
      <c r="H197" s="9" t="s">
        <v>4</v>
      </c>
      <c r="I197" s="9" t="s">
        <v>4</v>
      </c>
      <c r="J197" s="9" t="s">
        <v>4</v>
      </c>
      <c r="K197" s="9" t="s">
        <v>4</v>
      </c>
      <c r="L197" s="9" t="s">
        <v>4</v>
      </c>
      <c r="M197" s="9" t="s">
        <v>4</v>
      </c>
      <c r="N197" s="9" t="s">
        <v>4</v>
      </c>
      <c r="O197" s="9" t="s">
        <v>4</v>
      </c>
      <c r="P197" s="9" t="s">
        <v>4</v>
      </c>
      <c r="Q197" s="9" t="s">
        <v>4</v>
      </c>
      <c r="R197" s="9" t="s">
        <v>4</v>
      </c>
      <c r="S197" s="9" t="s">
        <v>4</v>
      </c>
      <c r="T197" s="9" t="s">
        <v>4</v>
      </c>
      <c r="U197" s="9" t="s">
        <v>4</v>
      </c>
      <c r="V197" s="9" t="s">
        <v>4</v>
      </c>
      <c r="W197" s="9" t="s">
        <v>4</v>
      </c>
      <c r="X197" s="9" t="s">
        <v>4</v>
      </c>
      <c r="Y197" s="9" t="s">
        <v>4</v>
      </c>
      <c r="Z197" s="25" t="s">
        <v>4</v>
      </c>
    </row>
    <row r="198" spans="1:26" x14ac:dyDescent="0.2">
      <c r="A198" s="47"/>
      <c r="B198" s="6" t="s">
        <v>193</v>
      </c>
      <c r="C198" s="9" t="s">
        <v>3</v>
      </c>
      <c r="D198" s="9" t="s">
        <v>3</v>
      </c>
      <c r="E198" s="9" t="s">
        <v>4</v>
      </c>
      <c r="F198" s="9" t="s">
        <v>4</v>
      </c>
      <c r="G198" s="9" t="s">
        <v>4</v>
      </c>
      <c r="H198" s="9" t="s">
        <v>4</v>
      </c>
      <c r="I198" s="9" t="s">
        <v>4</v>
      </c>
      <c r="J198" s="9" t="s">
        <v>4</v>
      </c>
      <c r="K198" s="9" t="s">
        <v>4</v>
      </c>
      <c r="L198" s="9" t="s">
        <v>4</v>
      </c>
      <c r="M198" s="9" t="s">
        <v>4</v>
      </c>
      <c r="N198" s="9" t="s">
        <v>4</v>
      </c>
      <c r="O198" s="9" t="s">
        <v>4</v>
      </c>
      <c r="P198" s="9" t="s">
        <v>4</v>
      </c>
      <c r="Q198" s="9" t="s">
        <v>4</v>
      </c>
      <c r="R198" s="9" t="s">
        <v>4</v>
      </c>
      <c r="S198" s="9" t="s">
        <v>4</v>
      </c>
      <c r="T198" s="9" t="s">
        <v>4</v>
      </c>
      <c r="U198" s="9" t="s">
        <v>4</v>
      </c>
      <c r="V198" s="9" t="s">
        <v>4</v>
      </c>
      <c r="W198" s="9" t="s">
        <v>4</v>
      </c>
      <c r="X198" s="9" t="s">
        <v>4</v>
      </c>
      <c r="Y198" s="9" t="s">
        <v>4</v>
      </c>
      <c r="Z198" s="25" t="s">
        <v>4</v>
      </c>
    </row>
    <row r="199" spans="1:26" x14ac:dyDescent="0.2">
      <c r="A199" s="47"/>
      <c r="B199" s="6" t="s">
        <v>194</v>
      </c>
      <c r="C199" s="9" t="s">
        <v>3</v>
      </c>
      <c r="D199" s="9" t="s">
        <v>3</v>
      </c>
      <c r="E199" s="9" t="s">
        <v>4</v>
      </c>
      <c r="F199" s="9" t="s">
        <v>4</v>
      </c>
      <c r="G199" s="9" t="s">
        <v>4</v>
      </c>
      <c r="H199" s="9" t="s">
        <v>4</v>
      </c>
      <c r="I199" s="9" t="s">
        <v>4</v>
      </c>
      <c r="J199" s="9" t="s">
        <v>4</v>
      </c>
      <c r="K199" s="9" t="s">
        <v>4</v>
      </c>
      <c r="L199" s="9" t="s">
        <v>4</v>
      </c>
      <c r="M199" s="9" t="s">
        <v>4</v>
      </c>
      <c r="N199" s="9" t="s">
        <v>4</v>
      </c>
      <c r="O199" s="9" t="s">
        <v>4</v>
      </c>
      <c r="P199" s="9" t="s">
        <v>4</v>
      </c>
      <c r="Q199" s="9" t="s">
        <v>4</v>
      </c>
      <c r="R199" s="9" t="s">
        <v>4</v>
      </c>
      <c r="S199" s="9" t="s">
        <v>4</v>
      </c>
      <c r="T199" s="9" t="s">
        <v>4</v>
      </c>
      <c r="U199" s="9" t="s">
        <v>4</v>
      </c>
      <c r="V199" s="9" t="s">
        <v>4</v>
      </c>
      <c r="W199" s="9" t="s">
        <v>4</v>
      </c>
      <c r="X199" s="9" t="s">
        <v>4</v>
      </c>
      <c r="Y199" s="9" t="s">
        <v>4</v>
      </c>
      <c r="Z199" s="25" t="s">
        <v>4</v>
      </c>
    </row>
    <row r="200" spans="1:26" x14ac:dyDescent="0.2">
      <c r="A200" s="47"/>
      <c r="B200" s="6" t="s">
        <v>195</v>
      </c>
      <c r="C200" s="9" t="s">
        <v>3</v>
      </c>
      <c r="D200" s="9" t="s">
        <v>3</v>
      </c>
      <c r="E200" s="9" t="s">
        <v>4</v>
      </c>
      <c r="F200" s="9" t="s">
        <v>4</v>
      </c>
      <c r="G200" s="9" t="s">
        <v>4</v>
      </c>
      <c r="H200" s="9" t="s">
        <v>4</v>
      </c>
      <c r="I200" s="9" t="s">
        <v>4</v>
      </c>
      <c r="J200" s="9" t="s">
        <v>4</v>
      </c>
      <c r="K200" s="9" t="s">
        <v>4</v>
      </c>
      <c r="L200" s="9" t="s">
        <v>4</v>
      </c>
      <c r="M200" s="9" t="s">
        <v>4</v>
      </c>
      <c r="N200" s="9" t="s">
        <v>4</v>
      </c>
      <c r="O200" s="9" t="s">
        <v>4</v>
      </c>
      <c r="P200" s="9" t="s">
        <v>4</v>
      </c>
      <c r="Q200" s="9" t="s">
        <v>4</v>
      </c>
      <c r="R200" s="9" t="s">
        <v>4</v>
      </c>
      <c r="S200" s="9" t="s">
        <v>4</v>
      </c>
      <c r="T200" s="9" t="s">
        <v>4</v>
      </c>
      <c r="U200" s="9" t="s">
        <v>4</v>
      </c>
      <c r="V200" s="9" t="s">
        <v>4</v>
      </c>
      <c r="W200" s="9" t="s">
        <v>4</v>
      </c>
      <c r="X200" s="9" t="s">
        <v>4</v>
      </c>
      <c r="Y200" s="9" t="s">
        <v>4</v>
      </c>
      <c r="Z200" s="25" t="s">
        <v>4</v>
      </c>
    </row>
    <row r="201" spans="1:26" x14ac:dyDescent="0.2">
      <c r="A201" s="47"/>
      <c r="B201" s="6" t="s">
        <v>196</v>
      </c>
      <c r="C201" s="9" t="s">
        <v>4</v>
      </c>
      <c r="D201" s="9" t="s">
        <v>4</v>
      </c>
      <c r="E201" s="9" t="s">
        <v>4</v>
      </c>
      <c r="F201" s="9" t="s">
        <v>4</v>
      </c>
      <c r="G201" s="9" t="s">
        <v>4</v>
      </c>
      <c r="H201" s="9" t="s">
        <v>4</v>
      </c>
      <c r="I201" s="9" t="s">
        <v>4</v>
      </c>
      <c r="J201" s="9" t="s">
        <v>4</v>
      </c>
      <c r="K201" s="9" t="s">
        <v>4</v>
      </c>
      <c r="L201" s="9" t="s">
        <v>4</v>
      </c>
      <c r="M201" s="9" t="s">
        <v>4</v>
      </c>
      <c r="N201" s="9" t="s">
        <v>4</v>
      </c>
      <c r="O201" s="9" t="s">
        <v>4</v>
      </c>
      <c r="P201" s="9" t="s">
        <v>4</v>
      </c>
      <c r="Q201" s="9" t="s">
        <v>4</v>
      </c>
      <c r="R201" s="9" t="s">
        <v>4</v>
      </c>
      <c r="S201" s="9" t="s">
        <v>4</v>
      </c>
      <c r="T201" s="9" t="s">
        <v>4</v>
      </c>
      <c r="U201" s="9" t="s">
        <v>4</v>
      </c>
      <c r="V201" s="9" t="s">
        <v>4</v>
      </c>
      <c r="W201" s="9" t="s">
        <v>4</v>
      </c>
      <c r="X201" s="9" t="s">
        <v>4</v>
      </c>
      <c r="Y201" s="9" t="s">
        <v>4</v>
      </c>
      <c r="Z201" s="25" t="s">
        <v>4</v>
      </c>
    </row>
    <row r="202" spans="1:26" x14ac:dyDescent="0.2">
      <c r="A202" s="47"/>
      <c r="B202" s="6" t="s">
        <v>197</v>
      </c>
      <c r="C202" s="9" t="s">
        <v>3</v>
      </c>
      <c r="D202" s="9" t="s">
        <v>3</v>
      </c>
      <c r="E202" s="9" t="s">
        <v>4</v>
      </c>
      <c r="F202" s="9" t="s">
        <v>4</v>
      </c>
      <c r="G202" s="9" t="s">
        <v>4</v>
      </c>
      <c r="H202" s="9" t="s">
        <v>4</v>
      </c>
      <c r="I202" s="9" t="s">
        <v>4</v>
      </c>
      <c r="J202" s="9" t="s">
        <v>4</v>
      </c>
      <c r="K202" s="9" t="s">
        <v>4</v>
      </c>
      <c r="L202" s="9" t="s">
        <v>4</v>
      </c>
      <c r="M202" s="9" t="s">
        <v>4</v>
      </c>
      <c r="N202" s="9" t="s">
        <v>4</v>
      </c>
      <c r="O202" s="9" t="s">
        <v>4</v>
      </c>
      <c r="P202" s="9" t="s">
        <v>4</v>
      </c>
      <c r="Q202" s="9" t="s">
        <v>4</v>
      </c>
      <c r="R202" s="9" t="s">
        <v>4</v>
      </c>
      <c r="S202" s="9" t="s">
        <v>4</v>
      </c>
      <c r="T202" s="9" t="s">
        <v>4</v>
      </c>
      <c r="U202" s="9" t="s">
        <v>4</v>
      </c>
      <c r="V202" s="9" t="s">
        <v>4</v>
      </c>
      <c r="W202" s="9" t="s">
        <v>4</v>
      </c>
      <c r="X202" s="9" t="s">
        <v>4</v>
      </c>
      <c r="Y202" s="9" t="s">
        <v>4</v>
      </c>
      <c r="Z202" s="25" t="s">
        <v>4</v>
      </c>
    </row>
    <row r="203" spans="1:26" x14ac:dyDescent="0.2">
      <c r="A203" s="47"/>
      <c r="B203" s="6" t="s">
        <v>198</v>
      </c>
      <c r="C203" s="9" t="s">
        <v>3</v>
      </c>
      <c r="D203" s="9" t="s">
        <v>3</v>
      </c>
      <c r="E203" s="9" t="s">
        <v>4</v>
      </c>
      <c r="F203" s="9" t="s">
        <v>4</v>
      </c>
      <c r="G203" s="9" t="s">
        <v>4</v>
      </c>
      <c r="H203" s="9" t="s">
        <v>4</v>
      </c>
      <c r="I203" s="9" t="s">
        <v>4</v>
      </c>
      <c r="J203" s="9" t="s">
        <v>4</v>
      </c>
      <c r="K203" s="9" t="s">
        <v>4</v>
      </c>
      <c r="L203" s="9" t="s">
        <v>4</v>
      </c>
      <c r="M203" s="9" t="s">
        <v>4</v>
      </c>
      <c r="N203" s="9" t="s">
        <v>4</v>
      </c>
      <c r="O203" s="9" t="s">
        <v>4</v>
      </c>
      <c r="P203" s="9" t="s">
        <v>4</v>
      </c>
      <c r="Q203" s="9" t="s">
        <v>4</v>
      </c>
      <c r="R203" s="9" t="s">
        <v>4</v>
      </c>
      <c r="S203" s="9" t="s">
        <v>4</v>
      </c>
      <c r="T203" s="9" t="s">
        <v>4</v>
      </c>
      <c r="U203" s="9" t="s">
        <v>4</v>
      </c>
      <c r="V203" s="9" t="s">
        <v>4</v>
      </c>
      <c r="W203" s="9" t="s">
        <v>4</v>
      </c>
      <c r="X203" s="9" t="s">
        <v>4</v>
      </c>
      <c r="Y203" s="9" t="s">
        <v>4</v>
      </c>
      <c r="Z203" s="25" t="s">
        <v>4</v>
      </c>
    </row>
    <row r="204" spans="1:26" x14ac:dyDescent="0.2">
      <c r="A204" s="47"/>
      <c r="B204" s="6" t="s">
        <v>199</v>
      </c>
      <c r="C204" s="9" t="s">
        <v>273</v>
      </c>
      <c r="D204" s="9" t="s">
        <v>273</v>
      </c>
      <c r="E204" s="9" t="s">
        <v>4</v>
      </c>
      <c r="F204" s="9" t="s">
        <v>4</v>
      </c>
      <c r="G204" s="9" t="s">
        <v>4</v>
      </c>
      <c r="H204" s="9" t="s">
        <v>4</v>
      </c>
      <c r="I204" s="9" t="s">
        <v>4</v>
      </c>
      <c r="J204" s="9" t="s">
        <v>4</v>
      </c>
      <c r="K204" s="9" t="s">
        <v>4</v>
      </c>
      <c r="L204" s="9" t="s">
        <v>4</v>
      </c>
      <c r="M204" s="9" t="s">
        <v>4</v>
      </c>
      <c r="N204" s="9" t="s">
        <v>4</v>
      </c>
      <c r="O204" s="9" t="s">
        <v>4</v>
      </c>
      <c r="P204" s="9" t="s">
        <v>4</v>
      </c>
      <c r="Q204" s="9" t="s">
        <v>4</v>
      </c>
      <c r="R204" s="9" t="s">
        <v>4</v>
      </c>
      <c r="S204" s="9" t="s">
        <v>4</v>
      </c>
      <c r="T204" s="9" t="s">
        <v>4</v>
      </c>
      <c r="U204" s="9" t="s">
        <v>4</v>
      </c>
      <c r="V204" s="9" t="s">
        <v>4</v>
      </c>
      <c r="W204" s="9" t="s">
        <v>4</v>
      </c>
      <c r="X204" s="9" t="s">
        <v>4</v>
      </c>
      <c r="Y204" s="9" t="s">
        <v>4</v>
      </c>
      <c r="Z204" s="25" t="s">
        <v>4</v>
      </c>
    </row>
    <row r="205" spans="1:26" x14ac:dyDescent="0.2">
      <c r="A205" s="47"/>
      <c r="B205" s="6" t="s">
        <v>200</v>
      </c>
      <c r="C205" s="9" t="s">
        <v>3</v>
      </c>
      <c r="D205" s="9" t="s">
        <v>3</v>
      </c>
      <c r="E205" s="9" t="s">
        <v>4</v>
      </c>
      <c r="F205" s="9" t="s">
        <v>4</v>
      </c>
      <c r="G205" s="9" t="s">
        <v>4</v>
      </c>
      <c r="H205" s="9" t="s">
        <v>4</v>
      </c>
      <c r="I205" s="9" t="s">
        <v>4</v>
      </c>
      <c r="J205" s="9" t="s">
        <v>4</v>
      </c>
      <c r="K205" s="9" t="s">
        <v>4</v>
      </c>
      <c r="L205" s="9" t="s">
        <v>4</v>
      </c>
      <c r="M205" s="9" t="s">
        <v>4</v>
      </c>
      <c r="N205" s="9" t="s">
        <v>4</v>
      </c>
      <c r="O205" s="9" t="s">
        <v>4</v>
      </c>
      <c r="P205" s="9" t="s">
        <v>4</v>
      </c>
      <c r="Q205" s="9" t="s">
        <v>4</v>
      </c>
      <c r="R205" s="9" t="s">
        <v>4</v>
      </c>
      <c r="S205" s="9" t="s">
        <v>4</v>
      </c>
      <c r="T205" s="9" t="s">
        <v>4</v>
      </c>
      <c r="U205" s="9" t="s">
        <v>4</v>
      </c>
      <c r="V205" s="9" t="s">
        <v>4</v>
      </c>
      <c r="W205" s="9" t="s">
        <v>4</v>
      </c>
      <c r="X205" s="9" t="s">
        <v>4</v>
      </c>
      <c r="Y205" s="9" t="s">
        <v>4</v>
      </c>
      <c r="Z205" s="25" t="s">
        <v>4</v>
      </c>
    </row>
    <row r="206" spans="1:26" x14ac:dyDescent="0.2">
      <c r="A206" s="47"/>
      <c r="B206" s="6" t="s">
        <v>201</v>
      </c>
      <c r="C206" s="9" t="s">
        <v>273</v>
      </c>
      <c r="D206" s="9" t="s">
        <v>273</v>
      </c>
      <c r="E206" s="9" t="s">
        <v>4</v>
      </c>
      <c r="F206" s="9" t="s">
        <v>4</v>
      </c>
      <c r="G206" s="9" t="s">
        <v>4</v>
      </c>
      <c r="H206" s="9" t="s">
        <v>4</v>
      </c>
      <c r="I206" s="9" t="s">
        <v>4</v>
      </c>
      <c r="J206" s="9" t="s">
        <v>4</v>
      </c>
      <c r="K206" s="9" t="s">
        <v>4</v>
      </c>
      <c r="L206" s="9" t="s">
        <v>4</v>
      </c>
      <c r="M206" s="9" t="s">
        <v>4</v>
      </c>
      <c r="N206" s="9" t="s">
        <v>4</v>
      </c>
      <c r="O206" s="9" t="s">
        <v>4</v>
      </c>
      <c r="P206" s="9" t="s">
        <v>4</v>
      </c>
      <c r="Q206" s="9" t="s">
        <v>4</v>
      </c>
      <c r="R206" s="9" t="s">
        <v>4</v>
      </c>
      <c r="S206" s="9" t="s">
        <v>4</v>
      </c>
      <c r="T206" s="9" t="s">
        <v>4</v>
      </c>
      <c r="U206" s="9" t="s">
        <v>4</v>
      </c>
      <c r="V206" s="9" t="s">
        <v>4</v>
      </c>
      <c r="W206" s="9" t="s">
        <v>4</v>
      </c>
      <c r="X206" s="9" t="s">
        <v>4</v>
      </c>
      <c r="Y206" s="9" t="s">
        <v>4</v>
      </c>
      <c r="Z206" s="25" t="s">
        <v>4</v>
      </c>
    </row>
    <row r="207" spans="1:26" x14ac:dyDescent="0.2">
      <c r="A207" s="47"/>
      <c r="B207" s="6" t="s">
        <v>202</v>
      </c>
      <c r="C207" s="9" t="s">
        <v>4</v>
      </c>
      <c r="D207" s="9" t="s">
        <v>4</v>
      </c>
      <c r="E207" s="9" t="s">
        <v>4</v>
      </c>
      <c r="F207" s="9" t="s">
        <v>4</v>
      </c>
      <c r="G207" s="9" t="s">
        <v>4</v>
      </c>
      <c r="H207" s="9" t="s">
        <v>4</v>
      </c>
      <c r="I207" s="9" t="s">
        <v>4</v>
      </c>
      <c r="J207" s="9" t="s">
        <v>4</v>
      </c>
      <c r="K207" s="9" t="s">
        <v>4</v>
      </c>
      <c r="L207" s="9" t="s">
        <v>4</v>
      </c>
      <c r="M207" s="9" t="s">
        <v>4</v>
      </c>
      <c r="N207" s="9" t="s">
        <v>4</v>
      </c>
      <c r="O207" s="9" t="s">
        <v>4</v>
      </c>
      <c r="P207" s="9" t="s">
        <v>4</v>
      </c>
      <c r="Q207" s="9" t="s">
        <v>4</v>
      </c>
      <c r="R207" s="9" t="s">
        <v>4</v>
      </c>
      <c r="S207" s="9" t="s">
        <v>4</v>
      </c>
      <c r="T207" s="9" t="s">
        <v>4</v>
      </c>
      <c r="U207" s="9" t="s">
        <v>4</v>
      </c>
      <c r="V207" s="9" t="s">
        <v>4</v>
      </c>
      <c r="W207" s="9" t="s">
        <v>4</v>
      </c>
      <c r="X207" s="9" t="s">
        <v>4</v>
      </c>
      <c r="Y207" s="9" t="s">
        <v>4</v>
      </c>
      <c r="Z207" s="25" t="s">
        <v>4</v>
      </c>
    </row>
    <row r="208" spans="1:26" x14ac:dyDescent="0.2">
      <c r="A208" s="47"/>
      <c r="B208" s="6" t="s">
        <v>203</v>
      </c>
      <c r="C208" s="9" t="s">
        <v>4</v>
      </c>
      <c r="D208" s="9" t="s">
        <v>4</v>
      </c>
      <c r="E208" s="9" t="s">
        <v>4</v>
      </c>
      <c r="F208" s="9" t="s">
        <v>4</v>
      </c>
      <c r="G208" s="9" t="s">
        <v>4</v>
      </c>
      <c r="H208" s="9" t="s">
        <v>4</v>
      </c>
      <c r="I208" s="9" t="s">
        <v>4</v>
      </c>
      <c r="J208" s="9" t="s">
        <v>4</v>
      </c>
      <c r="K208" s="9" t="s">
        <v>4</v>
      </c>
      <c r="L208" s="9" t="s">
        <v>4</v>
      </c>
      <c r="M208" s="9" t="s">
        <v>4</v>
      </c>
      <c r="N208" s="9" t="s">
        <v>4</v>
      </c>
      <c r="O208" s="9" t="s">
        <v>4</v>
      </c>
      <c r="P208" s="9" t="s">
        <v>4</v>
      </c>
      <c r="Q208" s="9" t="s">
        <v>4</v>
      </c>
      <c r="R208" s="9" t="s">
        <v>4</v>
      </c>
      <c r="S208" s="9" t="s">
        <v>4</v>
      </c>
      <c r="T208" s="9" t="s">
        <v>4</v>
      </c>
      <c r="U208" s="9" t="s">
        <v>4</v>
      </c>
      <c r="V208" s="9" t="s">
        <v>4</v>
      </c>
      <c r="W208" s="9" t="s">
        <v>4</v>
      </c>
      <c r="X208" s="9" t="s">
        <v>4</v>
      </c>
      <c r="Y208" s="9" t="s">
        <v>4</v>
      </c>
      <c r="Z208" s="25" t="s">
        <v>4</v>
      </c>
    </row>
    <row r="209" spans="1:26" x14ac:dyDescent="0.2">
      <c r="A209" s="47"/>
      <c r="B209" s="6" t="s">
        <v>204</v>
      </c>
      <c r="C209" s="9" t="s">
        <v>4</v>
      </c>
      <c r="D209" s="9" t="s">
        <v>4</v>
      </c>
      <c r="E209" s="9" t="s">
        <v>4</v>
      </c>
      <c r="F209" s="9" t="s">
        <v>4</v>
      </c>
      <c r="G209" s="9" t="s">
        <v>4</v>
      </c>
      <c r="H209" s="9" t="s">
        <v>4</v>
      </c>
      <c r="I209" s="9" t="s">
        <v>4</v>
      </c>
      <c r="J209" s="9" t="s">
        <v>4</v>
      </c>
      <c r="K209" s="9" t="s">
        <v>4</v>
      </c>
      <c r="L209" s="9" t="s">
        <v>4</v>
      </c>
      <c r="M209" s="9" t="s">
        <v>4</v>
      </c>
      <c r="N209" s="9" t="s">
        <v>4</v>
      </c>
      <c r="O209" s="9" t="s">
        <v>4</v>
      </c>
      <c r="P209" s="9" t="s">
        <v>4</v>
      </c>
      <c r="Q209" s="9" t="s">
        <v>4</v>
      </c>
      <c r="R209" s="9" t="s">
        <v>4</v>
      </c>
      <c r="S209" s="9" t="s">
        <v>4</v>
      </c>
      <c r="T209" s="9" t="s">
        <v>4</v>
      </c>
      <c r="U209" s="9" t="s">
        <v>4</v>
      </c>
      <c r="V209" s="9" t="s">
        <v>4</v>
      </c>
      <c r="W209" s="9" t="s">
        <v>4</v>
      </c>
      <c r="X209" s="9" t="s">
        <v>4</v>
      </c>
      <c r="Y209" s="9" t="s">
        <v>4</v>
      </c>
      <c r="Z209" s="25" t="s">
        <v>4</v>
      </c>
    </row>
    <row r="210" spans="1:26" x14ac:dyDescent="0.2">
      <c r="A210" s="47"/>
      <c r="B210" s="6" t="s">
        <v>205</v>
      </c>
      <c r="C210" s="9" t="s">
        <v>4</v>
      </c>
      <c r="D210" s="9" t="s">
        <v>4</v>
      </c>
      <c r="E210" s="9" t="s">
        <v>4</v>
      </c>
      <c r="F210" s="9" t="s">
        <v>4</v>
      </c>
      <c r="G210" s="9" t="s">
        <v>4</v>
      </c>
      <c r="H210" s="9" t="s">
        <v>4</v>
      </c>
      <c r="I210" s="9" t="s">
        <v>4</v>
      </c>
      <c r="J210" s="9" t="s">
        <v>4</v>
      </c>
      <c r="K210" s="9" t="s">
        <v>4</v>
      </c>
      <c r="L210" s="9" t="s">
        <v>4</v>
      </c>
      <c r="M210" s="9" t="s">
        <v>4</v>
      </c>
      <c r="N210" s="9" t="s">
        <v>4</v>
      </c>
      <c r="O210" s="9" t="s">
        <v>4</v>
      </c>
      <c r="P210" s="9" t="s">
        <v>4</v>
      </c>
      <c r="Q210" s="9" t="s">
        <v>4</v>
      </c>
      <c r="R210" s="9" t="s">
        <v>4</v>
      </c>
      <c r="S210" s="9" t="s">
        <v>4</v>
      </c>
      <c r="T210" s="9" t="s">
        <v>4</v>
      </c>
      <c r="U210" s="9" t="s">
        <v>4</v>
      </c>
      <c r="V210" s="9" t="s">
        <v>4</v>
      </c>
      <c r="W210" s="9" t="s">
        <v>4</v>
      </c>
      <c r="X210" s="9" t="s">
        <v>4</v>
      </c>
      <c r="Y210" s="9" t="s">
        <v>4</v>
      </c>
      <c r="Z210" s="25" t="s">
        <v>4</v>
      </c>
    </row>
    <row r="211" spans="1:26" x14ac:dyDescent="0.2">
      <c r="A211" s="47"/>
      <c r="B211" s="6" t="s">
        <v>206</v>
      </c>
      <c r="C211" s="9" t="s">
        <v>4</v>
      </c>
      <c r="D211" s="9" t="s">
        <v>4</v>
      </c>
      <c r="E211" s="9" t="s">
        <v>4</v>
      </c>
      <c r="F211" s="9" t="s">
        <v>4</v>
      </c>
      <c r="G211" s="9" t="s">
        <v>4</v>
      </c>
      <c r="H211" s="9" t="s">
        <v>4</v>
      </c>
      <c r="I211" s="9" t="s">
        <v>4</v>
      </c>
      <c r="J211" s="9" t="s">
        <v>4</v>
      </c>
      <c r="K211" s="9" t="s">
        <v>4</v>
      </c>
      <c r="L211" s="9" t="s">
        <v>4</v>
      </c>
      <c r="M211" s="9" t="s">
        <v>4</v>
      </c>
      <c r="N211" s="9" t="s">
        <v>4</v>
      </c>
      <c r="O211" s="9" t="s">
        <v>4</v>
      </c>
      <c r="P211" s="9" t="s">
        <v>4</v>
      </c>
      <c r="Q211" s="9" t="s">
        <v>4</v>
      </c>
      <c r="R211" s="9" t="s">
        <v>4</v>
      </c>
      <c r="S211" s="9" t="s">
        <v>4</v>
      </c>
      <c r="T211" s="9" t="s">
        <v>4</v>
      </c>
      <c r="U211" s="9" t="s">
        <v>4</v>
      </c>
      <c r="V211" s="9" t="s">
        <v>4</v>
      </c>
      <c r="W211" s="9" t="s">
        <v>4</v>
      </c>
      <c r="X211" s="9" t="s">
        <v>4</v>
      </c>
      <c r="Y211" s="9" t="s">
        <v>4</v>
      </c>
      <c r="Z211" s="25" t="s">
        <v>4</v>
      </c>
    </row>
    <row r="212" spans="1:26" x14ac:dyDescent="0.2">
      <c r="A212" s="47"/>
      <c r="B212" s="6" t="s">
        <v>207</v>
      </c>
      <c r="C212" s="9" t="s">
        <v>4</v>
      </c>
      <c r="D212" s="9" t="s">
        <v>4</v>
      </c>
      <c r="E212" s="9" t="s">
        <v>4</v>
      </c>
      <c r="F212" s="9" t="s">
        <v>4</v>
      </c>
      <c r="G212" s="9" t="s">
        <v>4</v>
      </c>
      <c r="H212" s="9" t="s">
        <v>4</v>
      </c>
      <c r="I212" s="9" t="s">
        <v>4</v>
      </c>
      <c r="J212" s="9" t="s">
        <v>4</v>
      </c>
      <c r="K212" s="9" t="s">
        <v>4</v>
      </c>
      <c r="L212" s="9" t="s">
        <v>4</v>
      </c>
      <c r="M212" s="9" t="s">
        <v>4</v>
      </c>
      <c r="N212" s="9" t="s">
        <v>4</v>
      </c>
      <c r="O212" s="9" t="s">
        <v>4</v>
      </c>
      <c r="P212" s="9" t="s">
        <v>4</v>
      </c>
      <c r="Q212" s="9" t="s">
        <v>4</v>
      </c>
      <c r="R212" s="9" t="s">
        <v>4</v>
      </c>
      <c r="S212" s="9" t="s">
        <v>4</v>
      </c>
      <c r="T212" s="9" t="s">
        <v>4</v>
      </c>
      <c r="U212" s="9" t="s">
        <v>4</v>
      </c>
      <c r="V212" s="9" t="s">
        <v>4</v>
      </c>
      <c r="W212" s="9" t="s">
        <v>4</v>
      </c>
      <c r="X212" s="9" t="s">
        <v>4</v>
      </c>
      <c r="Y212" s="9" t="s">
        <v>4</v>
      </c>
      <c r="Z212" s="25" t="s">
        <v>4</v>
      </c>
    </row>
    <row r="213" spans="1:26" x14ac:dyDescent="0.2">
      <c r="A213" s="47"/>
      <c r="B213" s="6" t="s">
        <v>208</v>
      </c>
      <c r="C213" s="9" t="s">
        <v>4</v>
      </c>
      <c r="D213" s="9" t="s">
        <v>4</v>
      </c>
      <c r="E213" s="9" t="s">
        <v>4</v>
      </c>
      <c r="F213" s="9" t="s">
        <v>4</v>
      </c>
      <c r="G213" s="9" t="s">
        <v>4</v>
      </c>
      <c r="H213" s="9" t="s">
        <v>4</v>
      </c>
      <c r="I213" s="9" t="s">
        <v>4</v>
      </c>
      <c r="J213" s="9" t="s">
        <v>4</v>
      </c>
      <c r="K213" s="9" t="s">
        <v>4</v>
      </c>
      <c r="L213" s="9" t="s">
        <v>4</v>
      </c>
      <c r="M213" s="9" t="s">
        <v>4</v>
      </c>
      <c r="N213" s="9" t="s">
        <v>4</v>
      </c>
      <c r="O213" s="9" t="s">
        <v>4</v>
      </c>
      <c r="P213" s="9" t="s">
        <v>4</v>
      </c>
      <c r="Q213" s="9" t="s">
        <v>4</v>
      </c>
      <c r="R213" s="9" t="s">
        <v>4</v>
      </c>
      <c r="S213" s="9" t="s">
        <v>4</v>
      </c>
      <c r="T213" s="9" t="s">
        <v>4</v>
      </c>
      <c r="U213" s="9" t="s">
        <v>4</v>
      </c>
      <c r="V213" s="9" t="s">
        <v>4</v>
      </c>
      <c r="W213" s="9" t="s">
        <v>4</v>
      </c>
      <c r="X213" s="9" t="s">
        <v>4</v>
      </c>
      <c r="Y213" s="9" t="s">
        <v>4</v>
      </c>
      <c r="Z213" s="25" t="s">
        <v>4</v>
      </c>
    </row>
    <row r="214" spans="1:26" x14ac:dyDescent="0.2">
      <c r="A214" s="47"/>
      <c r="B214" s="6" t="s">
        <v>209</v>
      </c>
      <c r="C214" s="9" t="s">
        <v>4</v>
      </c>
      <c r="D214" s="9" t="s">
        <v>4</v>
      </c>
      <c r="E214" s="9" t="s">
        <v>4</v>
      </c>
      <c r="F214" s="9" t="s">
        <v>4</v>
      </c>
      <c r="G214" s="9" t="s">
        <v>4</v>
      </c>
      <c r="H214" s="9" t="s">
        <v>4</v>
      </c>
      <c r="I214" s="9" t="s">
        <v>4</v>
      </c>
      <c r="J214" s="9" t="s">
        <v>4</v>
      </c>
      <c r="K214" s="9" t="s">
        <v>4</v>
      </c>
      <c r="L214" s="9" t="s">
        <v>4</v>
      </c>
      <c r="M214" s="9" t="s">
        <v>4</v>
      </c>
      <c r="N214" s="9" t="s">
        <v>4</v>
      </c>
      <c r="O214" s="9" t="s">
        <v>4</v>
      </c>
      <c r="P214" s="9" t="s">
        <v>4</v>
      </c>
      <c r="Q214" s="9" t="s">
        <v>4</v>
      </c>
      <c r="R214" s="9" t="s">
        <v>4</v>
      </c>
      <c r="S214" s="9" t="s">
        <v>4</v>
      </c>
      <c r="T214" s="9" t="s">
        <v>4</v>
      </c>
      <c r="U214" s="9" t="s">
        <v>4</v>
      </c>
      <c r="V214" s="9" t="s">
        <v>4</v>
      </c>
      <c r="W214" s="9" t="s">
        <v>4</v>
      </c>
      <c r="X214" s="9" t="s">
        <v>4</v>
      </c>
      <c r="Y214" s="9" t="s">
        <v>4</v>
      </c>
      <c r="Z214" s="25" t="s">
        <v>4</v>
      </c>
    </row>
    <row r="215" spans="1:26" x14ac:dyDescent="0.2">
      <c r="A215" s="47"/>
      <c r="B215" s="6" t="s">
        <v>210</v>
      </c>
      <c r="C215" s="9" t="s">
        <v>4</v>
      </c>
      <c r="D215" s="9" t="s">
        <v>4</v>
      </c>
      <c r="E215" s="9" t="s">
        <v>4</v>
      </c>
      <c r="F215" s="9" t="s">
        <v>4</v>
      </c>
      <c r="G215" s="9" t="s">
        <v>4</v>
      </c>
      <c r="H215" s="9" t="s">
        <v>4</v>
      </c>
      <c r="I215" s="9" t="s">
        <v>4</v>
      </c>
      <c r="J215" s="9" t="s">
        <v>4</v>
      </c>
      <c r="K215" s="9" t="s">
        <v>4</v>
      </c>
      <c r="L215" s="9" t="s">
        <v>4</v>
      </c>
      <c r="M215" s="9" t="s">
        <v>4</v>
      </c>
      <c r="N215" s="9" t="s">
        <v>4</v>
      </c>
      <c r="O215" s="9" t="s">
        <v>4</v>
      </c>
      <c r="P215" s="9" t="s">
        <v>4</v>
      </c>
      <c r="Q215" s="9" t="s">
        <v>4</v>
      </c>
      <c r="R215" s="9" t="s">
        <v>4</v>
      </c>
      <c r="S215" s="9" t="s">
        <v>4</v>
      </c>
      <c r="T215" s="9" t="s">
        <v>4</v>
      </c>
      <c r="U215" s="9" t="s">
        <v>4</v>
      </c>
      <c r="V215" s="9" t="s">
        <v>4</v>
      </c>
      <c r="W215" s="9" t="s">
        <v>4</v>
      </c>
      <c r="X215" s="9" t="s">
        <v>4</v>
      </c>
      <c r="Y215" s="9" t="s">
        <v>4</v>
      </c>
      <c r="Z215" s="25" t="s">
        <v>4</v>
      </c>
    </row>
    <row r="216" spans="1:26" ht="15.75" customHeight="1" thickBot="1" x14ac:dyDescent="0.25">
      <c r="A216" s="48"/>
      <c r="B216" s="41" t="s">
        <v>211</v>
      </c>
      <c r="C216" s="27" t="s">
        <v>4</v>
      </c>
      <c r="D216" s="27" t="s">
        <v>4</v>
      </c>
      <c r="E216" s="27" t="s">
        <v>4</v>
      </c>
      <c r="F216" s="27" t="s">
        <v>4</v>
      </c>
      <c r="G216" s="27" t="s">
        <v>4</v>
      </c>
      <c r="H216" s="27" t="s">
        <v>4</v>
      </c>
      <c r="I216" s="27" t="s">
        <v>4</v>
      </c>
      <c r="J216" s="27" t="s">
        <v>4</v>
      </c>
      <c r="K216" s="27" t="s">
        <v>4</v>
      </c>
      <c r="L216" s="27" t="s">
        <v>4</v>
      </c>
      <c r="M216" s="27" t="s">
        <v>4</v>
      </c>
      <c r="N216" s="27" t="s">
        <v>4</v>
      </c>
      <c r="O216" s="27" t="s">
        <v>4</v>
      </c>
      <c r="P216" s="27" t="s">
        <v>4</v>
      </c>
      <c r="Q216" s="27" t="s">
        <v>4</v>
      </c>
      <c r="R216" s="27" t="s">
        <v>4</v>
      </c>
      <c r="S216" s="27" t="s">
        <v>4</v>
      </c>
      <c r="T216" s="27" t="s">
        <v>4</v>
      </c>
      <c r="U216" s="27" t="s">
        <v>4</v>
      </c>
      <c r="V216" s="27" t="s">
        <v>4</v>
      </c>
      <c r="W216" s="27" t="s">
        <v>4</v>
      </c>
      <c r="X216" s="27" t="s">
        <v>4</v>
      </c>
      <c r="Y216" s="27" t="s">
        <v>4</v>
      </c>
      <c r="Z216" s="28" t="s">
        <v>4</v>
      </c>
    </row>
    <row r="217" spans="1:26" x14ac:dyDescent="0.2">
      <c r="A217" s="46" t="s">
        <v>212</v>
      </c>
      <c r="B217" s="40" t="s">
        <v>174</v>
      </c>
      <c r="C217" s="23" t="s">
        <v>3</v>
      </c>
      <c r="D217" s="23" t="s">
        <v>3</v>
      </c>
      <c r="E217" s="23" t="s">
        <v>4</v>
      </c>
      <c r="F217" s="23" t="s">
        <v>4</v>
      </c>
      <c r="G217" s="23" t="s">
        <v>4</v>
      </c>
      <c r="H217" s="23" t="s">
        <v>4</v>
      </c>
      <c r="I217" s="23" t="s">
        <v>4</v>
      </c>
      <c r="J217" s="23" t="s">
        <v>4</v>
      </c>
      <c r="K217" s="23" t="s">
        <v>4</v>
      </c>
      <c r="L217" s="23" t="s">
        <v>4</v>
      </c>
      <c r="M217" s="23" t="s">
        <v>4</v>
      </c>
      <c r="N217" s="23" t="s">
        <v>4</v>
      </c>
      <c r="O217" s="23" t="s">
        <v>4</v>
      </c>
      <c r="P217" s="23" t="s">
        <v>4</v>
      </c>
      <c r="Q217" s="23" t="s">
        <v>4</v>
      </c>
      <c r="R217" s="23" t="s">
        <v>4</v>
      </c>
      <c r="S217" s="23" t="s">
        <v>4</v>
      </c>
      <c r="T217" s="23" t="s">
        <v>4</v>
      </c>
      <c r="U217" s="23" t="s">
        <v>4</v>
      </c>
      <c r="V217" s="23" t="s">
        <v>4</v>
      </c>
      <c r="W217" s="23" t="s">
        <v>4</v>
      </c>
      <c r="X217" s="23" t="s">
        <v>4</v>
      </c>
      <c r="Y217" s="23" t="s">
        <v>4</v>
      </c>
      <c r="Z217" s="24" t="s">
        <v>4</v>
      </c>
    </row>
    <row r="218" spans="1:26" x14ac:dyDescent="0.2">
      <c r="A218" s="47"/>
      <c r="B218" s="6" t="s">
        <v>175</v>
      </c>
      <c r="C218" s="9" t="s">
        <v>273</v>
      </c>
      <c r="D218" s="9" t="s">
        <v>273</v>
      </c>
      <c r="E218" s="9" t="s">
        <v>4</v>
      </c>
      <c r="F218" s="9" t="s">
        <v>4</v>
      </c>
      <c r="G218" s="9" t="s">
        <v>4</v>
      </c>
      <c r="H218" s="9" t="s">
        <v>4</v>
      </c>
      <c r="I218" s="9" t="s">
        <v>4</v>
      </c>
      <c r="J218" s="9" t="s">
        <v>4</v>
      </c>
      <c r="K218" s="9" t="s">
        <v>4</v>
      </c>
      <c r="L218" s="9" t="s">
        <v>4</v>
      </c>
      <c r="M218" s="9" t="s">
        <v>4</v>
      </c>
      <c r="N218" s="9" t="s">
        <v>4</v>
      </c>
      <c r="O218" s="9" t="s">
        <v>4</v>
      </c>
      <c r="P218" s="9" t="s">
        <v>4</v>
      </c>
      <c r="Q218" s="9" t="s">
        <v>4</v>
      </c>
      <c r="R218" s="9" t="s">
        <v>4</v>
      </c>
      <c r="S218" s="9" t="s">
        <v>4</v>
      </c>
      <c r="T218" s="9" t="s">
        <v>4</v>
      </c>
      <c r="U218" s="9" t="s">
        <v>4</v>
      </c>
      <c r="V218" s="9" t="s">
        <v>4</v>
      </c>
      <c r="W218" s="9" t="s">
        <v>4</v>
      </c>
      <c r="X218" s="9" t="s">
        <v>4</v>
      </c>
      <c r="Y218" s="9" t="s">
        <v>4</v>
      </c>
      <c r="Z218" s="25" t="s">
        <v>4</v>
      </c>
    </row>
    <row r="219" spans="1:26" x14ac:dyDescent="0.2">
      <c r="A219" s="47"/>
      <c r="B219" s="6" t="s">
        <v>176</v>
      </c>
      <c r="C219" s="9" t="s">
        <v>3</v>
      </c>
      <c r="D219" s="9" t="s">
        <v>3</v>
      </c>
      <c r="E219" s="9" t="s">
        <v>4</v>
      </c>
      <c r="F219" s="9" t="s">
        <v>4</v>
      </c>
      <c r="G219" s="9" t="s">
        <v>4</v>
      </c>
      <c r="H219" s="9" t="s">
        <v>4</v>
      </c>
      <c r="I219" s="9" t="s">
        <v>4</v>
      </c>
      <c r="J219" s="9" t="s">
        <v>4</v>
      </c>
      <c r="K219" s="9" t="s">
        <v>4</v>
      </c>
      <c r="L219" s="9" t="s">
        <v>4</v>
      </c>
      <c r="M219" s="9" t="s">
        <v>4</v>
      </c>
      <c r="N219" s="9" t="s">
        <v>4</v>
      </c>
      <c r="O219" s="9" t="s">
        <v>4</v>
      </c>
      <c r="P219" s="9" t="s">
        <v>4</v>
      </c>
      <c r="Q219" s="9" t="s">
        <v>4</v>
      </c>
      <c r="R219" s="9" t="s">
        <v>4</v>
      </c>
      <c r="S219" s="9" t="s">
        <v>4</v>
      </c>
      <c r="T219" s="9" t="s">
        <v>4</v>
      </c>
      <c r="U219" s="9" t="s">
        <v>4</v>
      </c>
      <c r="V219" s="9" t="s">
        <v>4</v>
      </c>
      <c r="W219" s="9" t="s">
        <v>4</v>
      </c>
      <c r="X219" s="9" t="s">
        <v>4</v>
      </c>
      <c r="Y219" s="9" t="s">
        <v>4</v>
      </c>
      <c r="Z219" s="25" t="s">
        <v>4</v>
      </c>
    </row>
    <row r="220" spans="1:26" x14ac:dyDescent="0.2">
      <c r="A220" s="47"/>
      <c r="B220" s="6" t="s">
        <v>131</v>
      </c>
      <c r="C220" s="9" t="s">
        <v>3</v>
      </c>
      <c r="D220" s="9" t="s">
        <v>3</v>
      </c>
      <c r="E220" s="9" t="s">
        <v>4</v>
      </c>
      <c r="F220" s="9" t="s">
        <v>4</v>
      </c>
      <c r="G220" s="9" t="s">
        <v>4</v>
      </c>
      <c r="H220" s="9" t="s">
        <v>4</v>
      </c>
      <c r="I220" s="9" t="s">
        <v>4</v>
      </c>
      <c r="J220" s="9" t="s">
        <v>4</v>
      </c>
      <c r="K220" s="9" t="s">
        <v>4</v>
      </c>
      <c r="L220" s="9" t="s">
        <v>4</v>
      </c>
      <c r="M220" s="9" t="s">
        <v>4</v>
      </c>
      <c r="N220" s="9" t="s">
        <v>4</v>
      </c>
      <c r="O220" s="9" t="s">
        <v>4</v>
      </c>
      <c r="P220" s="9" t="s">
        <v>4</v>
      </c>
      <c r="Q220" s="9" t="s">
        <v>4</v>
      </c>
      <c r="R220" s="9" t="s">
        <v>4</v>
      </c>
      <c r="S220" s="9" t="s">
        <v>4</v>
      </c>
      <c r="T220" s="9" t="s">
        <v>4</v>
      </c>
      <c r="U220" s="9" t="s">
        <v>4</v>
      </c>
      <c r="V220" s="9" t="s">
        <v>4</v>
      </c>
      <c r="W220" s="9" t="s">
        <v>4</v>
      </c>
      <c r="X220" s="9" t="s">
        <v>4</v>
      </c>
      <c r="Y220" s="9" t="s">
        <v>4</v>
      </c>
      <c r="Z220" s="25" t="s">
        <v>4</v>
      </c>
    </row>
    <row r="221" spans="1:26" x14ac:dyDescent="0.2">
      <c r="A221" s="47"/>
      <c r="B221" s="6" t="s">
        <v>213</v>
      </c>
      <c r="C221" s="9" t="s">
        <v>273</v>
      </c>
      <c r="D221" s="9" t="s">
        <v>273</v>
      </c>
      <c r="E221" s="9" t="s">
        <v>4</v>
      </c>
      <c r="F221" s="9" t="s">
        <v>4</v>
      </c>
      <c r="G221" s="9" t="s">
        <v>4</v>
      </c>
      <c r="H221" s="9" t="s">
        <v>4</v>
      </c>
      <c r="I221" s="9" t="s">
        <v>4</v>
      </c>
      <c r="J221" s="9" t="s">
        <v>4</v>
      </c>
      <c r="K221" s="9" t="s">
        <v>4</v>
      </c>
      <c r="L221" s="9" t="s">
        <v>4</v>
      </c>
      <c r="M221" s="9" t="s">
        <v>4</v>
      </c>
      <c r="N221" s="9" t="s">
        <v>4</v>
      </c>
      <c r="O221" s="9" t="s">
        <v>4</v>
      </c>
      <c r="P221" s="9" t="s">
        <v>4</v>
      </c>
      <c r="Q221" s="9" t="s">
        <v>4</v>
      </c>
      <c r="R221" s="9" t="s">
        <v>4</v>
      </c>
      <c r="S221" s="9" t="s">
        <v>4</v>
      </c>
      <c r="T221" s="9" t="s">
        <v>4</v>
      </c>
      <c r="U221" s="9" t="s">
        <v>4</v>
      </c>
      <c r="V221" s="9" t="s">
        <v>4</v>
      </c>
      <c r="W221" s="9" t="s">
        <v>4</v>
      </c>
      <c r="X221" s="9" t="s">
        <v>4</v>
      </c>
      <c r="Y221" s="9" t="s">
        <v>4</v>
      </c>
      <c r="Z221" s="25" t="s">
        <v>4</v>
      </c>
    </row>
    <row r="222" spans="1:26" x14ac:dyDescent="0.2">
      <c r="A222" s="47"/>
      <c r="B222" s="6" t="s">
        <v>214</v>
      </c>
      <c r="C222" s="9" t="s">
        <v>4</v>
      </c>
      <c r="D222" s="9" t="s">
        <v>4</v>
      </c>
      <c r="E222" s="9" t="s">
        <v>4</v>
      </c>
      <c r="F222" s="9" t="s">
        <v>4</v>
      </c>
      <c r="G222" s="9" t="s">
        <v>4</v>
      </c>
      <c r="H222" s="9" t="s">
        <v>4</v>
      </c>
      <c r="I222" s="9" t="s">
        <v>4</v>
      </c>
      <c r="J222" s="9" t="s">
        <v>4</v>
      </c>
      <c r="K222" s="9" t="s">
        <v>4</v>
      </c>
      <c r="L222" s="9" t="s">
        <v>4</v>
      </c>
      <c r="M222" s="9" t="s">
        <v>4</v>
      </c>
      <c r="N222" s="9" t="s">
        <v>4</v>
      </c>
      <c r="O222" s="9" t="s">
        <v>4</v>
      </c>
      <c r="P222" s="9" t="s">
        <v>4</v>
      </c>
      <c r="Q222" s="9" t="s">
        <v>4</v>
      </c>
      <c r="R222" s="9" t="s">
        <v>4</v>
      </c>
      <c r="S222" s="9" t="s">
        <v>4</v>
      </c>
      <c r="T222" s="9" t="s">
        <v>4</v>
      </c>
      <c r="U222" s="9" t="s">
        <v>4</v>
      </c>
      <c r="V222" s="9" t="s">
        <v>4</v>
      </c>
      <c r="W222" s="9" t="s">
        <v>4</v>
      </c>
      <c r="X222" s="9" t="s">
        <v>4</v>
      </c>
      <c r="Y222" s="9" t="s">
        <v>4</v>
      </c>
      <c r="Z222" s="25" t="s">
        <v>4</v>
      </c>
    </row>
    <row r="223" spans="1:26" x14ac:dyDescent="0.2">
      <c r="A223" s="47"/>
      <c r="B223" s="6" t="s">
        <v>215</v>
      </c>
      <c r="C223" s="9" t="s">
        <v>4</v>
      </c>
      <c r="D223" s="9" t="s">
        <v>4</v>
      </c>
      <c r="E223" s="9" t="s">
        <v>4</v>
      </c>
      <c r="F223" s="9" t="s">
        <v>4</v>
      </c>
      <c r="G223" s="9" t="s">
        <v>4</v>
      </c>
      <c r="H223" s="9" t="s">
        <v>4</v>
      </c>
      <c r="I223" s="9" t="s">
        <v>4</v>
      </c>
      <c r="J223" s="9" t="s">
        <v>4</v>
      </c>
      <c r="K223" s="9" t="s">
        <v>4</v>
      </c>
      <c r="L223" s="9" t="s">
        <v>4</v>
      </c>
      <c r="M223" s="9" t="s">
        <v>4</v>
      </c>
      <c r="N223" s="9" t="s">
        <v>4</v>
      </c>
      <c r="O223" s="9" t="s">
        <v>4</v>
      </c>
      <c r="P223" s="9" t="s">
        <v>4</v>
      </c>
      <c r="Q223" s="9" t="s">
        <v>4</v>
      </c>
      <c r="R223" s="9" t="s">
        <v>4</v>
      </c>
      <c r="S223" s="9" t="s">
        <v>4</v>
      </c>
      <c r="T223" s="9" t="s">
        <v>4</v>
      </c>
      <c r="U223" s="9" t="s">
        <v>4</v>
      </c>
      <c r="V223" s="9" t="s">
        <v>4</v>
      </c>
      <c r="W223" s="9" t="s">
        <v>4</v>
      </c>
      <c r="X223" s="9" t="s">
        <v>4</v>
      </c>
      <c r="Y223" s="9" t="s">
        <v>4</v>
      </c>
      <c r="Z223" s="25" t="s">
        <v>4</v>
      </c>
    </row>
    <row r="224" spans="1:26" x14ac:dyDescent="0.2">
      <c r="A224" s="47"/>
      <c r="B224" s="6" t="s">
        <v>216</v>
      </c>
      <c r="C224" s="9" t="s">
        <v>4</v>
      </c>
      <c r="D224" s="9" t="s">
        <v>4</v>
      </c>
      <c r="E224" s="9" t="s">
        <v>4</v>
      </c>
      <c r="F224" s="9" t="s">
        <v>4</v>
      </c>
      <c r="G224" s="9" t="s">
        <v>4</v>
      </c>
      <c r="H224" s="9" t="s">
        <v>4</v>
      </c>
      <c r="I224" s="9" t="s">
        <v>4</v>
      </c>
      <c r="J224" s="9" t="s">
        <v>4</v>
      </c>
      <c r="K224" s="9" t="s">
        <v>4</v>
      </c>
      <c r="L224" s="9" t="s">
        <v>4</v>
      </c>
      <c r="M224" s="9" t="s">
        <v>4</v>
      </c>
      <c r="N224" s="9" t="s">
        <v>4</v>
      </c>
      <c r="O224" s="9" t="s">
        <v>4</v>
      </c>
      <c r="P224" s="9" t="s">
        <v>4</v>
      </c>
      <c r="Q224" s="9" t="s">
        <v>4</v>
      </c>
      <c r="R224" s="9" t="s">
        <v>4</v>
      </c>
      <c r="S224" s="9" t="s">
        <v>4</v>
      </c>
      <c r="T224" s="9" t="s">
        <v>4</v>
      </c>
      <c r="U224" s="9" t="s">
        <v>4</v>
      </c>
      <c r="V224" s="9" t="s">
        <v>4</v>
      </c>
      <c r="W224" s="9" t="s">
        <v>4</v>
      </c>
      <c r="X224" s="9" t="s">
        <v>4</v>
      </c>
      <c r="Y224" s="9" t="s">
        <v>4</v>
      </c>
      <c r="Z224" s="25" t="s">
        <v>4</v>
      </c>
    </row>
    <row r="225" spans="1:26" x14ac:dyDescent="0.2">
      <c r="A225" s="47"/>
      <c r="B225" s="6" t="s">
        <v>217</v>
      </c>
      <c r="C225" s="9" t="s">
        <v>4</v>
      </c>
      <c r="D225" s="9" t="s">
        <v>4</v>
      </c>
      <c r="E225" s="9" t="s">
        <v>4</v>
      </c>
      <c r="F225" s="9" t="s">
        <v>4</v>
      </c>
      <c r="G225" s="9" t="s">
        <v>4</v>
      </c>
      <c r="H225" s="9" t="s">
        <v>4</v>
      </c>
      <c r="I225" s="9" t="s">
        <v>4</v>
      </c>
      <c r="J225" s="9" t="s">
        <v>4</v>
      </c>
      <c r="K225" s="9" t="s">
        <v>4</v>
      </c>
      <c r="L225" s="9" t="s">
        <v>4</v>
      </c>
      <c r="M225" s="9" t="s">
        <v>4</v>
      </c>
      <c r="N225" s="9" t="s">
        <v>4</v>
      </c>
      <c r="O225" s="9" t="s">
        <v>4</v>
      </c>
      <c r="P225" s="9" t="s">
        <v>4</v>
      </c>
      <c r="Q225" s="9" t="s">
        <v>4</v>
      </c>
      <c r="R225" s="9" t="s">
        <v>4</v>
      </c>
      <c r="S225" s="9" t="s">
        <v>4</v>
      </c>
      <c r="T225" s="9" t="s">
        <v>4</v>
      </c>
      <c r="U225" s="9" t="s">
        <v>4</v>
      </c>
      <c r="V225" s="9" t="s">
        <v>4</v>
      </c>
      <c r="W225" s="9" t="s">
        <v>4</v>
      </c>
      <c r="X225" s="9" t="s">
        <v>4</v>
      </c>
      <c r="Y225" s="9" t="s">
        <v>4</v>
      </c>
      <c r="Z225" s="25" t="s">
        <v>4</v>
      </c>
    </row>
    <row r="226" spans="1:26" x14ac:dyDescent="0.2">
      <c r="A226" s="47"/>
      <c r="B226" s="6" t="s">
        <v>218</v>
      </c>
      <c r="C226" s="9" t="s">
        <v>4</v>
      </c>
      <c r="D226" s="9" t="s">
        <v>4</v>
      </c>
      <c r="E226" s="9" t="s">
        <v>4</v>
      </c>
      <c r="F226" s="9" t="s">
        <v>4</v>
      </c>
      <c r="G226" s="9" t="s">
        <v>4</v>
      </c>
      <c r="H226" s="9" t="s">
        <v>4</v>
      </c>
      <c r="I226" s="9" t="s">
        <v>4</v>
      </c>
      <c r="J226" s="9" t="s">
        <v>4</v>
      </c>
      <c r="K226" s="9" t="s">
        <v>4</v>
      </c>
      <c r="L226" s="9" t="s">
        <v>4</v>
      </c>
      <c r="M226" s="9" t="s">
        <v>4</v>
      </c>
      <c r="N226" s="9" t="s">
        <v>4</v>
      </c>
      <c r="O226" s="9" t="s">
        <v>4</v>
      </c>
      <c r="P226" s="9" t="s">
        <v>4</v>
      </c>
      <c r="Q226" s="9" t="s">
        <v>4</v>
      </c>
      <c r="R226" s="9" t="s">
        <v>4</v>
      </c>
      <c r="S226" s="9" t="s">
        <v>4</v>
      </c>
      <c r="T226" s="9" t="s">
        <v>4</v>
      </c>
      <c r="U226" s="9" t="s">
        <v>4</v>
      </c>
      <c r="V226" s="9" t="s">
        <v>4</v>
      </c>
      <c r="W226" s="9" t="s">
        <v>4</v>
      </c>
      <c r="X226" s="9" t="s">
        <v>4</v>
      </c>
      <c r="Y226" s="9" t="s">
        <v>4</v>
      </c>
      <c r="Z226" s="25" t="s">
        <v>4</v>
      </c>
    </row>
    <row r="227" spans="1:26" x14ac:dyDescent="0.2">
      <c r="A227" s="47"/>
      <c r="B227" s="6" t="s">
        <v>219</v>
      </c>
      <c r="C227" s="9" t="s">
        <v>4</v>
      </c>
      <c r="D227" s="9" t="s">
        <v>4</v>
      </c>
      <c r="E227" s="9" t="s">
        <v>4</v>
      </c>
      <c r="F227" s="9" t="s">
        <v>4</v>
      </c>
      <c r="G227" s="9" t="s">
        <v>4</v>
      </c>
      <c r="H227" s="9" t="s">
        <v>4</v>
      </c>
      <c r="I227" s="9" t="s">
        <v>4</v>
      </c>
      <c r="J227" s="9" t="s">
        <v>4</v>
      </c>
      <c r="K227" s="9" t="s">
        <v>4</v>
      </c>
      <c r="L227" s="9" t="s">
        <v>4</v>
      </c>
      <c r="M227" s="9" t="s">
        <v>4</v>
      </c>
      <c r="N227" s="9" t="s">
        <v>4</v>
      </c>
      <c r="O227" s="9" t="s">
        <v>4</v>
      </c>
      <c r="P227" s="9" t="s">
        <v>4</v>
      </c>
      <c r="Q227" s="9" t="s">
        <v>4</v>
      </c>
      <c r="R227" s="9" t="s">
        <v>4</v>
      </c>
      <c r="S227" s="9" t="s">
        <v>4</v>
      </c>
      <c r="T227" s="9" t="s">
        <v>4</v>
      </c>
      <c r="U227" s="9" t="s">
        <v>4</v>
      </c>
      <c r="V227" s="9" t="s">
        <v>4</v>
      </c>
      <c r="W227" s="9" t="s">
        <v>4</v>
      </c>
      <c r="X227" s="9" t="s">
        <v>4</v>
      </c>
      <c r="Y227" s="9" t="s">
        <v>4</v>
      </c>
      <c r="Z227" s="25" t="s">
        <v>4</v>
      </c>
    </row>
    <row r="228" spans="1:26" x14ac:dyDescent="0.2">
      <c r="A228" s="47"/>
      <c r="B228" s="6" t="s">
        <v>220</v>
      </c>
      <c r="C228" s="9" t="s">
        <v>4</v>
      </c>
      <c r="D228" s="9" t="s">
        <v>4</v>
      </c>
      <c r="E228" s="9" t="s">
        <v>4</v>
      </c>
      <c r="F228" s="9" t="s">
        <v>4</v>
      </c>
      <c r="G228" s="9" t="s">
        <v>4</v>
      </c>
      <c r="H228" s="9" t="s">
        <v>4</v>
      </c>
      <c r="I228" s="9" t="s">
        <v>4</v>
      </c>
      <c r="J228" s="9" t="s">
        <v>4</v>
      </c>
      <c r="K228" s="9" t="s">
        <v>4</v>
      </c>
      <c r="L228" s="9" t="s">
        <v>4</v>
      </c>
      <c r="M228" s="9" t="s">
        <v>4</v>
      </c>
      <c r="N228" s="9" t="s">
        <v>4</v>
      </c>
      <c r="O228" s="9" t="s">
        <v>4</v>
      </c>
      <c r="P228" s="9" t="s">
        <v>4</v>
      </c>
      <c r="Q228" s="9" t="s">
        <v>4</v>
      </c>
      <c r="R228" s="9" t="s">
        <v>4</v>
      </c>
      <c r="S228" s="9" t="s">
        <v>4</v>
      </c>
      <c r="T228" s="9" t="s">
        <v>4</v>
      </c>
      <c r="U228" s="9" t="s">
        <v>4</v>
      </c>
      <c r="V228" s="9" t="s">
        <v>4</v>
      </c>
      <c r="W228" s="9" t="s">
        <v>4</v>
      </c>
      <c r="X228" s="9" t="s">
        <v>4</v>
      </c>
      <c r="Y228" s="9" t="s">
        <v>4</v>
      </c>
      <c r="Z228" s="25" t="s">
        <v>4</v>
      </c>
    </row>
    <row r="229" spans="1:26" ht="15.75" customHeight="1" thickBot="1" x14ac:dyDescent="0.25">
      <c r="A229" s="48"/>
      <c r="B229" s="41" t="s">
        <v>221</v>
      </c>
      <c r="C229" s="27" t="s">
        <v>4</v>
      </c>
      <c r="D229" s="27" t="s">
        <v>4</v>
      </c>
      <c r="E229" s="27" t="s">
        <v>4</v>
      </c>
      <c r="F229" s="27" t="s">
        <v>4</v>
      </c>
      <c r="G229" s="27" t="s">
        <v>4</v>
      </c>
      <c r="H229" s="27" t="s">
        <v>4</v>
      </c>
      <c r="I229" s="27" t="s">
        <v>4</v>
      </c>
      <c r="J229" s="27" t="s">
        <v>4</v>
      </c>
      <c r="K229" s="27" t="s">
        <v>4</v>
      </c>
      <c r="L229" s="27" t="s">
        <v>4</v>
      </c>
      <c r="M229" s="27" t="s">
        <v>4</v>
      </c>
      <c r="N229" s="27" t="s">
        <v>4</v>
      </c>
      <c r="O229" s="27" t="s">
        <v>4</v>
      </c>
      <c r="P229" s="27" t="s">
        <v>4</v>
      </c>
      <c r="Q229" s="27" t="s">
        <v>4</v>
      </c>
      <c r="R229" s="27" t="s">
        <v>4</v>
      </c>
      <c r="S229" s="27" t="s">
        <v>4</v>
      </c>
      <c r="T229" s="27" t="s">
        <v>4</v>
      </c>
      <c r="U229" s="27" t="s">
        <v>4</v>
      </c>
      <c r="V229" s="27" t="s">
        <v>4</v>
      </c>
      <c r="W229" s="27" t="s">
        <v>4</v>
      </c>
      <c r="X229" s="27" t="s">
        <v>4</v>
      </c>
      <c r="Y229" s="27" t="s">
        <v>4</v>
      </c>
      <c r="Z229" s="28" t="s">
        <v>4</v>
      </c>
    </row>
    <row r="230" spans="1:26" ht="15.75" customHeight="1" thickBot="1" x14ac:dyDescent="0.25"/>
    <row r="231" spans="1:26" ht="16" thickBot="1" x14ac:dyDescent="0.25">
      <c r="A231" s="52" t="s">
        <v>222</v>
      </c>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5"/>
    </row>
    <row r="232" spans="1:26" x14ac:dyDescent="0.2">
      <c r="A232" s="46" t="s">
        <v>223</v>
      </c>
      <c r="B232" s="42" t="s">
        <v>224</v>
      </c>
      <c r="C232" s="23" t="s">
        <v>3</v>
      </c>
      <c r="D232" s="23" t="s">
        <v>3</v>
      </c>
      <c r="E232" s="23" t="s">
        <v>4</v>
      </c>
      <c r="F232" s="23" t="s">
        <v>4</v>
      </c>
      <c r="G232" s="23" t="s">
        <v>4</v>
      </c>
      <c r="H232" s="23" t="s">
        <v>4</v>
      </c>
      <c r="I232" s="23" t="s">
        <v>4</v>
      </c>
      <c r="J232" s="23" t="s">
        <v>4</v>
      </c>
      <c r="K232" s="23" t="s">
        <v>4</v>
      </c>
      <c r="L232" s="23" t="s">
        <v>4</v>
      </c>
      <c r="M232" s="23" t="s">
        <v>4</v>
      </c>
      <c r="N232" s="23" t="s">
        <v>4</v>
      </c>
      <c r="O232" s="23" t="s">
        <v>4</v>
      </c>
      <c r="P232" s="23" t="s">
        <v>4</v>
      </c>
      <c r="Q232" s="23" t="s">
        <v>4</v>
      </c>
      <c r="R232" s="23" t="s">
        <v>4</v>
      </c>
      <c r="S232" s="23" t="s">
        <v>4</v>
      </c>
      <c r="T232" s="23" t="s">
        <v>4</v>
      </c>
      <c r="U232" s="23" t="s">
        <v>4</v>
      </c>
      <c r="V232" s="23" t="s">
        <v>4</v>
      </c>
      <c r="W232" s="23" t="s">
        <v>4</v>
      </c>
      <c r="X232" s="23" t="s">
        <v>4</v>
      </c>
      <c r="Y232" s="23" t="s">
        <v>4</v>
      </c>
      <c r="Z232" s="24" t="s">
        <v>4</v>
      </c>
    </row>
    <row r="233" spans="1:26" x14ac:dyDescent="0.2">
      <c r="A233" s="47"/>
      <c r="B233" s="7" t="s">
        <v>225</v>
      </c>
      <c r="C233" s="9" t="s">
        <v>3</v>
      </c>
      <c r="D233" s="9" t="s">
        <v>3</v>
      </c>
      <c r="E233" s="9" t="s">
        <v>4</v>
      </c>
      <c r="F233" s="9" t="s">
        <v>4</v>
      </c>
      <c r="G233" s="9" t="s">
        <v>4</v>
      </c>
      <c r="H233" s="9" t="s">
        <v>4</v>
      </c>
      <c r="I233" s="9" t="s">
        <v>4</v>
      </c>
      <c r="J233" s="9" t="s">
        <v>4</v>
      </c>
      <c r="K233" s="9" t="s">
        <v>4</v>
      </c>
      <c r="L233" s="9" t="s">
        <v>4</v>
      </c>
      <c r="M233" s="9" t="s">
        <v>4</v>
      </c>
      <c r="N233" s="9" t="s">
        <v>4</v>
      </c>
      <c r="O233" s="9" t="s">
        <v>4</v>
      </c>
      <c r="P233" s="9" t="s">
        <v>4</v>
      </c>
      <c r="Q233" s="9" t="s">
        <v>4</v>
      </c>
      <c r="R233" s="9" t="s">
        <v>4</v>
      </c>
      <c r="S233" s="9" t="s">
        <v>4</v>
      </c>
      <c r="T233" s="9" t="s">
        <v>4</v>
      </c>
      <c r="U233" s="9" t="s">
        <v>4</v>
      </c>
      <c r="V233" s="9" t="s">
        <v>4</v>
      </c>
      <c r="W233" s="9" t="s">
        <v>4</v>
      </c>
      <c r="X233" s="9" t="s">
        <v>4</v>
      </c>
      <c r="Y233" s="9" t="s">
        <v>4</v>
      </c>
      <c r="Z233" s="25" t="s">
        <v>4</v>
      </c>
    </row>
    <row r="234" spans="1:26" x14ac:dyDescent="0.2">
      <c r="A234" s="47"/>
      <c r="B234" s="7" t="s">
        <v>121</v>
      </c>
      <c r="C234" s="9" t="s">
        <v>3</v>
      </c>
      <c r="D234" s="9" t="s">
        <v>3</v>
      </c>
      <c r="E234" s="9" t="s">
        <v>4</v>
      </c>
      <c r="F234" s="9" t="s">
        <v>4</v>
      </c>
      <c r="G234" s="9" t="s">
        <v>4</v>
      </c>
      <c r="H234" s="9" t="s">
        <v>4</v>
      </c>
      <c r="I234" s="9" t="s">
        <v>4</v>
      </c>
      <c r="J234" s="9" t="s">
        <v>4</v>
      </c>
      <c r="K234" s="9" t="s">
        <v>4</v>
      </c>
      <c r="L234" s="9" t="s">
        <v>4</v>
      </c>
      <c r="M234" s="9" t="s">
        <v>4</v>
      </c>
      <c r="N234" s="9" t="s">
        <v>4</v>
      </c>
      <c r="O234" s="9" t="s">
        <v>4</v>
      </c>
      <c r="P234" s="9" t="s">
        <v>4</v>
      </c>
      <c r="Q234" s="9" t="s">
        <v>4</v>
      </c>
      <c r="R234" s="9" t="s">
        <v>4</v>
      </c>
      <c r="S234" s="9" t="s">
        <v>4</v>
      </c>
      <c r="T234" s="9" t="s">
        <v>4</v>
      </c>
      <c r="U234" s="9" t="s">
        <v>4</v>
      </c>
      <c r="V234" s="9" t="s">
        <v>4</v>
      </c>
      <c r="W234" s="9" t="s">
        <v>4</v>
      </c>
      <c r="X234" s="9" t="s">
        <v>4</v>
      </c>
      <c r="Y234" s="9" t="s">
        <v>4</v>
      </c>
      <c r="Z234" s="25" t="s">
        <v>4</v>
      </c>
    </row>
    <row r="235" spans="1:26" x14ac:dyDescent="0.2">
      <c r="A235" s="47"/>
      <c r="B235" s="7" t="s">
        <v>122</v>
      </c>
      <c r="C235" s="9" t="s">
        <v>3</v>
      </c>
      <c r="D235" s="9" t="s">
        <v>3</v>
      </c>
      <c r="E235" s="9" t="s">
        <v>4</v>
      </c>
      <c r="F235" s="9" t="s">
        <v>4</v>
      </c>
      <c r="G235" s="9" t="s">
        <v>4</v>
      </c>
      <c r="H235" s="9" t="s">
        <v>4</v>
      </c>
      <c r="I235" s="9" t="s">
        <v>4</v>
      </c>
      <c r="J235" s="9" t="s">
        <v>4</v>
      </c>
      <c r="K235" s="9" t="s">
        <v>4</v>
      </c>
      <c r="L235" s="9" t="s">
        <v>4</v>
      </c>
      <c r="M235" s="9" t="s">
        <v>4</v>
      </c>
      <c r="N235" s="9" t="s">
        <v>4</v>
      </c>
      <c r="O235" s="9" t="s">
        <v>4</v>
      </c>
      <c r="P235" s="9" t="s">
        <v>4</v>
      </c>
      <c r="Q235" s="9" t="s">
        <v>4</v>
      </c>
      <c r="R235" s="9" t="s">
        <v>4</v>
      </c>
      <c r="S235" s="9" t="s">
        <v>4</v>
      </c>
      <c r="T235" s="9" t="s">
        <v>4</v>
      </c>
      <c r="U235" s="9" t="s">
        <v>4</v>
      </c>
      <c r="V235" s="9" t="s">
        <v>4</v>
      </c>
      <c r="W235" s="9" t="s">
        <v>4</v>
      </c>
      <c r="X235" s="9" t="s">
        <v>4</v>
      </c>
      <c r="Y235" s="9" t="s">
        <v>4</v>
      </c>
      <c r="Z235" s="25" t="s">
        <v>4</v>
      </c>
    </row>
    <row r="236" spans="1:26" x14ac:dyDescent="0.2">
      <c r="A236" s="47"/>
      <c r="B236" s="7" t="s">
        <v>226</v>
      </c>
      <c r="C236" s="9" t="s">
        <v>3</v>
      </c>
      <c r="D236" s="9" t="s">
        <v>3</v>
      </c>
      <c r="E236" s="9" t="s">
        <v>4</v>
      </c>
      <c r="F236" s="9" t="s">
        <v>4</v>
      </c>
      <c r="G236" s="9" t="s">
        <v>4</v>
      </c>
      <c r="H236" s="9" t="s">
        <v>4</v>
      </c>
      <c r="I236" s="9" t="s">
        <v>4</v>
      </c>
      <c r="J236" s="9" t="s">
        <v>4</v>
      </c>
      <c r="K236" s="9" t="s">
        <v>4</v>
      </c>
      <c r="L236" s="9" t="s">
        <v>4</v>
      </c>
      <c r="M236" s="9" t="s">
        <v>4</v>
      </c>
      <c r="N236" s="9" t="s">
        <v>4</v>
      </c>
      <c r="O236" s="9" t="s">
        <v>4</v>
      </c>
      <c r="P236" s="9" t="s">
        <v>4</v>
      </c>
      <c r="Q236" s="9" t="s">
        <v>4</v>
      </c>
      <c r="R236" s="9" t="s">
        <v>4</v>
      </c>
      <c r="S236" s="9" t="s">
        <v>4</v>
      </c>
      <c r="T236" s="9" t="s">
        <v>4</v>
      </c>
      <c r="U236" s="9" t="s">
        <v>4</v>
      </c>
      <c r="V236" s="9" t="s">
        <v>4</v>
      </c>
      <c r="W236" s="9" t="s">
        <v>4</v>
      </c>
      <c r="X236" s="9" t="s">
        <v>4</v>
      </c>
      <c r="Y236" s="9" t="s">
        <v>4</v>
      </c>
      <c r="Z236" s="25" t="s">
        <v>4</v>
      </c>
    </row>
    <row r="237" spans="1:26" x14ac:dyDescent="0.2">
      <c r="A237" s="47"/>
      <c r="B237" s="7" t="s">
        <v>227</v>
      </c>
      <c r="C237" s="9" t="s">
        <v>3</v>
      </c>
      <c r="D237" s="9" t="s">
        <v>3</v>
      </c>
      <c r="E237" s="9" t="s">
        <v>4</v>
      </c>
      <c r="F237" s="9" t="s">
        <v>4</v>
      </c>
      <c r="G237" s="9" t="s">
        <v>4</v>
      </c>
      <c r="H237" s="9" t="s">
        <v>4</v>
      </c>
      <c r="I237" s="9" t="s">
        <v>4</v>
      </c>
      <c r="J237" s="9" t="s">
        <v>4</v>
      </c>
      <c r="K237" s="9" t="s">
        <v>4</v>
      </c>
      <c r="L237" s="9" t="s">
        <v>4</v>
      </c>
      <c r="M237" s="9" t="s">
        <v>4</v>
      </c>
      <c r="N237" s="9" t="s">
        <v>4</v>
      </c>
      <c r="O237" s="9" t="s">
        <v>4</v>
      </c>
      <c r="P237" s="9" t="s">
        <v>4</v>
      </c>
      <c r="Q237" s="9" t="s">
        <v>4</v>
      </c>
      <c r="R237" s="9" t="s">
        <v>4</v>
      </c>
      <c r="S237" s="9" t="s">
        <v>4</v>
      </c>
      <c r="T237" s="9" t="s">
        <v>4</v>
      </c>
      <c r="U237" s="9" t="s">
        <v>4</v>
      </c>
      <c r="V237" s="9" t="s">
        <v>4</v>
      </c>
      <c r="W237" s="9" t="s">
        <v>4</v>
      </c>
      <c r="X237" s="9" t="s">
        <v>4</v>
      </c>
      <c r="Y237" s="9" t="s">
        <v>4</v>
      </c>
      <c r="Z237" s="25" t="s">
        <v>4</v>
      </c>
    </row>
    <row r="238" spans="1:26" x14ac:dyDescent="0.2">
      <c r="A238" s="47"/>
      <c r="B238" s="7" t="s">
        <v>228</v>
      </c>
      <c r="C238" s="9" t="s">
        <v>3</v>
      </c>
      <c r="D238" s="9" t="s">
        <v>3</v>
      </c>
      <c r="E238" s="9" t="s">
        <v>4</v>
      </c>
      <c r="F238" s="9" t="s">
        <v>4</v>
      </c>
      <c r="G238" s="9" t="s">
        <v>4</v>
      </c>
      <c r="H238" s="9" t="s">
        <v>4</v>
      </c>
      <c r="I238" s="9" t="s">
        <v>4</v>
      </c>
      <c r="J238" s="9" t="s">
        <v>4</v>
      </c>
      <c r="K238" s="9" t="s">
        <v>4</v>
      </c>
      <c r="L238" s="9" t="s">
        <v>4</v>
      </c>
      <c r="M238" s="9" t="s">
        <v>4</v>
      </c>
      <c r="N238" s="9" t="s">
        <v>4</v>
      </c>
      <c r="O238" s="9" t="s">
        <v>4</v>
      </c>
      <c r="P238" s="9" t="s">
        <v>4</v>
      </c>
      <c r="Q238" s="9" t="s">
        <v>4</v>
      </c>
      <c r="R238" s="9" t="s">
        <v>4</v>
      </c>
      <c r="S238" s="9" t="s">
        <v>4</v>
      </c>
      <c r="T238" s="9" t="s">
        <v>4</v>
      </c>
      <c r="U238" s="9" t="s">
        <v>4</v>
      </c>
      <c r="V238" s="9" t="s">
        <v>4</v>
      </c>
      <c r="W238" s="9" t="s">
        <v>4</v>
      </c>
      <c r="X238" s="9" t="s">
        <v>4</v>
      </c>
      <c r="Y238" s="9" t="s">
        <v>4</v>
      </c>
      <c r="Z238" s="25" t="s">
        <v>4</v>
      </c>
    </row>
    <row r="239" spans="1:26" x14ac:dyDescent="0.2">
      <c r="A239" s="47"/>
      <c r="B239" s="7" t="s">
        <v>229</v>
      </c>
      <c r="C239" s="9" t="s">
        <v>3</v>
      </c>
      <c r="D239" s="9" t="s">
        <v>3</v>
      </c>
      <c r="E239" s="9" t="s">
        <v>4</v>
      </c>
      <c r="F239" s="9" t="s">
        <v>4</v>
      </c>
      <c r="G239" s="9" t="s">
        <v>4</v>
      </c>
      <c r="H239" s="9" t="s">
        <v>4</v>
      </c>
      <c r="I239" s="9" t="s">
        <v>4</v>
      </c>
      <c r="J239" s="9" t="s">
        <v>4</v>
      </c>
      <c r="K239" s="9" t="s">
        <v>4</v>
      </c>
      <c r="L239" s="9" t="s">
        <v>4</v>
      </c>
      <c r="M239" s="9" t="s">
        <v>4</v>
      </c>
      <c r="N239" s="9" t="s">
        <v>4</v>
      </c>
      <c r="O239" s="9" t="s">
        <v>4</v>
      </c>
      <c r="P239" s="9" t="s">
        <v>4</v>
      </c>
      <c r="Q239" s="9" t="s">
        <v>4</v>
      </c>
      <c r="R239" s="9" t="s">
        <v>4</v>
      </c>
      <c r="S239" s="9" t="s">
        <v>4</v>
      </c>
      <c r="T239" s="9" t="s">
        <v>4</v>
      </c>
      <c r="U239" s="9" t="s">
        <v>4</v>
      </c>
      <c r="V239" s="9" t="s">
        <v>4</v>
      </c>
      <c r="W239" s="9" t="s">
        <v>4</v>
      </c>
      <c r="X239" s="9" t="s">
        <v>4</v>
      </c>
      <c r="Y239" s="9" t="s">
        <v>4</v>
      </c>
      <c r="Z239" s="25" t="s">
        <v>4</v>
      </c>
    </row>
    <row r="240" spans="1:26" x14ac:dyDescent="0.2">
      <c r="A240" s="47"/>
      <c r="B240" s="7" t="s">
        <v>230</v>
      </c>
      <c r="C240" s="9" t="s">
        <v>3</v>
      </c>
      <c r="D240" s="9" t="s">
        <v>3</v>
      </c>
      <c r="E240" s="9" t="s">
        <v>4</v>
      </c>
      <c r="F240" s="9" t="s">
        <v>4</v>
      </c>
      <c r="G240" s="9" t="s">
        <v>4</v>
      </c>
      <c r="H240" s="9" t="s">
        <v>4</v>
      </c>
      <c r="I240" s="9" t="s">
        <v>4</v>
      </c>
      <c r="J240" s="9" t="s">
        <v>4</v>
      </c>
      <c r="K240" s="9" t="s">
        <v>4</v>
      </c>
      <c r="L240" s="9" t="s">
        <v>4</v>
      </c>
      <c r="M240" s="9" t="s">
        <v>4</v>
      </c>
      <c r="N240" s="9" t="s">
        <v>4</v>
      </c>
      <c r="O240" s="9" t="s">
        <v>4</v>
      </c>
      <c r="P240" s="9" t="s">
        <v>4</v>
      </c>
      <c r="Q240" s="9" t="s">
        <v>4</v>
      </c>
      <c r="R240" s="9" t="s">
        <v>4</v>
      </c>
      <c r="S240" s="9" t="s">
        <v>4</v>
      </c>
      <c r="T240" s="9" t="s">
        <v>4</v>
      </c>
      <c r="U240" s="9" t="s">
        <v>4</v>
      </c>
      <c r="V240" s="9" t="s">
        <v>4</v>
      </c>
      <c r="W240" s="9" t="s">
        <v>4</v>
      </c>
      <c r="X240" s="9" t="s">
        <v>4</v>
      </c>
      <c r="Y240" s="9" t="s">
        <v>4</v>
      </c>
      <c r="Z240" s="25" t="s">
        <v>4</v>
      </c>
    </row>
    <row r="241" spans="1:26" x14ac:dyDescent="0.2">
      <c r="A241" s="47"/>
      <c r="B241" s="7" t="s">
        <v>231</v>
      </c>
      <c r="C241" s="9" t="s">
        <v>3</v>
      </c>
      <c r="D241" s="9" t="s">
        <v>3</v>
      </c>
      <c r="E241" s="9" t="s">
        <v>4</v>
      </c>
      <c r="F241" s="9" t="s">
        <v>4</v>
      </c>
      <c r="G241" s="9" t="s">
        <v>4</v>
      </c>
      <c r="H241" s="9" t="s">
        <v>4</v>
      </c>
      <c r="I241" s="9" t="s">
        <v>4</v>
      </c>
      <c r="J241" s="9" t="s">
        <v>4</v>
      </c>
      <c r="K241" s="9" t="s">
        <v>4</v>
      </c>
      <c r="L241" s="9" t="s">
        <v>4</v>
      </c>
      <c r="M241" s="9" t="s">
        <v>4</v>
      </c>
      <c r="N241" s="9" t="s">
        <v>4</v>
      </c>
      <c r="O241" s="9" t="s">
        <v>4</v>
      </c>
      <c r="P241" s="9" t="s">
        <v>4</v>
      </c>
      <c r="Q241" s="9" t="s">
        <v>4</v>
      </c>
      <c r="R241" s="9" t="s">
        <v>4</v>
      </c>
      <c r="S241" s="9" t="s">
        <v>4</v>
      </c>
      <c r="T241" s="9" t="s">
        <v>4</v>
      </c>
      <c r="U241" s="9" t="s">
        <v>4</v>
      </c>
      <c r="V241" s="9" t="s">
        <v>4</v>
      </c>
      <c r="W241" s="9" t="s">
        <v>4</v>
      </c>
      <c r="X241" s="9" t="s">
        <v>4</v>
      </c>
      <c r="Y241" s="9" t="s">
        <v>4</v>
      </c>
      <c r="Z241" s="25" t="s">
        <v>4</v>
      </c>
    </row>
    <row r="242" spans="1:26" x14ac:dyDescent="0.2">
      <c r="A242" s="47"/>
      <c r="B242" s="7" t="s">
        <v>134</v>
      </c>
      <c r="C242" s="9" t="s">
        <v>3</v>
      </c>
      <c r="D242" s="9" t="s">
        <v>3</v>
      </c>
      <c r="E242" s="9" t="s">
        <v>4</v>
      </c>
      <c r="F242" s="9" t="s">
        <v>4</v>
      </c>
      <c r="G242" s="9" t="s">
        <v>4</v>
      </c>
      <c r="H242" s="9" t="s">
        <v>4</v>
      </c>
      <c r="I242" s="9" t="s">
        <v>4</v>
      </c>
      <c r="J242" s="9" t="s">
        <v>4</v>
      </c>
      <c r="K242" s="9" t="s">
        <v>4</v>
      </c>
      <c r="L242" s="9" t="s">
        <v>4</v>
      </c>
      <c r="M242" s="9" t="s">
        <v>4</v>
      </c>
      <c r="N242" s="9" t="s">
        <v>4</v>
      </c>
      <c r="O242" s="9" t="s">
        <v>4</v>
      </c>
      <c r="P242" s="9" t="s">
        <v>4</v>
      </c>
      <c r="Q242" s="9" t="s">
        <v>4</v>
      </c>
      <c r="R242" s="9" t="s">
        <v>4</v>
      </c>
      <c r="S242" s="9" t="s">
        <v>4</v>
      </c>
      <c r="T242" s="9" t="s">
        <v>4</v>
      </c>
      <c r="U242" s="9" t="s">
        <v>4</v>
      </c>
      <c r="V242" s="9" t="s">
        <v>4</v>
      </c>
      <c r="W242" s="9" t="s">
        <v>4</v>
      </c>
      <c r="X242" s="9" t="s">
        <v>4</v>
      </c>
      <c r="Y242" s="9" t="s">
        <v>4</v>
      </c>
      <c r="Z242" s="25" t="s">
        <v>4</v>
      </c>
    </row>
    <row r="243" spans="1:26" x14ac:dyDescent="0.2">
      <c r="A243" s="47"/>
      <c r="B243" s="7" t="s">
        <v>232</v>
      </c>
      <c r="C243" s="9" t="s">
        <v>3</v>
      </c>
      <c r="D243" s="9" t="s">
        <v>3</v>
      </c>
      <c r="E243" s="9" t="s">
        <v>4</v>
      </c>
      <c r="F243" s="9" t="s">
        <v>4</v>
      </c>
      <c r="G243" s="9" t="s">
        <v>4</v>
      </c>
      <c r="H243" s="9" t="s">
        <v>4</v>
      </c>
      <c r="I243" s="9" t="s">
        <v>4</v>
      </c>
      <c r="J243" s="9" t="s">
        <v>4</v>
      </c>
      <c r="K243" s="9" t="s">
        <v>4</v>
      </c>
      <c r="L243" s="9" t="s">
        <v>4</v>
      </c>
      <c r="M243" s="9" t="s">
        <v>4</v>
      </c>
      <c r="N243" s="9" t="s">
        <v>4</v>
      </c>
      <c r="O243" s="9" t="s">
        <v>4</v>
      </c>
      <c r="P243" s="9" t="s">
        <v>4</v>
      </c>
      <c r="Q243" s="9" t="s">
        <v>4</v>
      </c>
      <c r="R243" s="9" t="s">
        <v>4</v>
      </c>
      <c r="S243" s="9" t="s">
        <v>4</v>
      </c>
      <c r="T243" s="9" t="s">
        <v>4</v>
      </c>
      <c r="U243" s="9" t="s">
        <v>4</v>
      </c>
      <c r="V243" s="9" t="s">
        <v>4</v>
      </c>
      <c r="W243" s="9" t="s">
        <v>4</v>
      </c>
      <c r="X243" s="9" t="s">
        <v>4</v>
      </c>
      <c r="Y243" s="9" t="s">
        <v>4</v>
      </c>
      <c r="Z243" s="25" t="s">
        <v>4</v>
      </c>
    </row>
    <row r="244" spans="1:26" x14ac:dyDescent="0.2">
      <c r="A244" s="47"/>
      <c r="B244" s="7" t="s">
        <v>198</v>
      </c>
      <c r="C244" s="9" t="s">
        <v>3</v>
      </c>
      <c r="D244" s="9" t="s">
        <v>3</v>
      </c>
      <c r="E244" s="9" t="s">
        <v>4</v>
      </c>
      <c r="F244" s="9" t="s">
        <v>4</v>
      </c>
      <c r="G244" s="9" t="s">
        <v>4</v>
      </c>
      <c r="H244" s="9" t="s">
        <v>4</v>
      </c>
      <c r="I244" s="9" t="s">
        <v>4</v>
      </c>
      <c r="J244" s="9" t="s">
        <v>4</v>
      </c>
      <c r="K244" s="9" t="s">
        <v>4</v>
      </c>
      <c r="L244" s="9" t="s">
        <v>4</v>
      </c>
      <c r="M244" s="9" t="s">
        <v>4</v>
      </c>
      <c r="N244" s="9" t="s">
        <v>4</v>
      </c>
      <c r="O244" s="9" t="s">
        <v>4</v>
      </c>
      <c r="P244" s="9" t="s">
        <v>4</v>
      </c>
      <c r="Q244" s="9" t="s">
        <v>4</v>
      </c>
      <c r="R244" s="9" t="s">
        <v>4</v>
      </c>
      <c r="S244" s="9" t="s">
        <v>4</v>
      </c>
      <c r="T244" s="9" t="s">
        <v>4</v>
      </c>
      <c r="U244" s="9" t="s">
        <v>4</v>
      </c>
      <c r="V244" s="9" t="s">
        <v>4</v>
      </c>
      <c r="W244" s="9" t="s">
        <v>4</v>
      </c>
      <c r="X244" s="9" t="s">
        <v>4</v>
      </c>
      <c r="Y244" s="9" t="s">
        <v>4</v>
      </c>
      <c r="Z244" s="25" t="s">
        <v>4</v>
      </c>
    </row>
    <row r="245" spans="1:26" x14ac:dyDescent="0.2">
      <c r="A245" s="47"/>
      <c r="B245" s="7" t="s">
        <v>233</v>
      </c>
      <c r="C245" s="9" t="s">
        <v>3</v>
      </c>
      <c r="D245" s="9" t="s">
        <v>3</v>
      </c>
      <c r="E245" s="9" t="s">
        <v>4</v>
      </c>
      <c r="F245" s="9" t="s">
        <v>4</v>
      </c>
      <c r="G245" s="9" t="s">
        <v>4</v>
      </c>
      <c r="H245" s="9" t="s">
        <v>4</v>
      </c>
      <c r="I245" s="9" t="s">
        <v>4</v>
      </c>
      <c r="J245" s="9" t="s">
        <v>4</v>
      </c>
      <c r="K245" s="9" t="s">
        <v>4</v>
      </c>
      <c r="L245" s="9" t="s">
        <v>4</v>
      </c>
      <c r="M245" s="9" t="s">
        <v>4</v>
      </c>
      <c r="N245" s="9" t="s">
        <v>4</v>
      </c>
      <c r="O245" s="9" t="s">
        <v>4</v>
      </c>
      <c r="P245" s="9" t="s">
        <v>4</v>
      </c>
      <c r="Q245" s="9" t="s">
        <v>4</v>
      </c>
      <c r="R245" s="9" t="s">
        <v>4</v>
      </c>
      <c r="S245" s="9" t="s">
        <v>4</v>
      </c>
      <c r="T245" s="9" t="s">
        <v>4</v>
      </c>
      <c r="U245" s="9" t="s">
        <v>4</v>
      </c>
      <c r="V245" s="9" t="s">
        <v>4</v>
      </c>
      <c r="W245" s="9" t="s">
        <v>4</v>
      </c>
      <c r="X245" s="9" t="s">
        <v>4</v>
      </c>
      <c r="Y245" s="9" t="s">
        <v>4</v>
      </c>
      <c r="Z245" s="25" t="s">
        <v>4</v>
      </c>
    </row>
    <row r="246" spans="1:26" x14ac:dyDescent="0.2">
      <c r="A246" s="47"/>
      <c r="B246" s="7" t="s">
        <v>234</v>
      </c>
      <c r="C246" s="9" t="s">
        <v>3</v>
      </c>
      <c r="D246" s="9" t="s">
        <v>3</v>
      </c>
      <c r="E246" s="9" t="s">
        <v>4</v>
      </c>
      <c r="F246" s="9" t="s">
        <v>4</v>
      </c>
      <c r="G246" s="9" t="s">
        <v>4</v>
      </c>
      <c r="H246" s="9" t="s">
        <v>4</v>
      </c>
      <c r="I246" s="9" t="s">
        <v>4</v>
      </c>
      <c r="J246" s="9" t="s">
        <v>4</v>
      </c>
      <c r="K246" s="9" t="s">
        <v>4</v>
      </c>
      <c r="L246" s="9" t="s">
        <v>4</v>
      </c>
      <c r="M246" s="9" t="s">
        <v>4</v>
      </c>
      <c r="N246" s="9" t="s">
        <v>4</v>
      </c>
      <c r="O246" s="9" t="s">
        <v>4</v>
      </c>
      <c r="P246" s="9" t="s">
        <v>4</v>
      </c>
      <c r="Q246" s="9" t="s">
        <v>4</v>
      </c>
      <c r="R246" s="9" t="s">
        <v>4</v>
      </c>
      <c r="S246" s="9" t="s">
        <v>4</v>
      </c>
      <c r="T246" s="9" t="s">
        <v>4</v>
      </c>
      <c r="U246" s="9" t="s">
        <v>4</v>
      </c>
      <c r="V246" s="9" t="s">
        <v>4</v>
      </c>
      <c r="W246" s="9" t="s">
        <v>4</v>
      </c>
      <c r="X246" s="9" t="s">
        <v>4</v>
      </c>
      <c r="Y246" s="9" t="s">
        <v>4</v>
      </c>
      <c r="Z246" s="25" t="s">
        <v>4</v>
      </c>
    </row>
    <row r="247" spans="1:26" x14ac:dyDescent="0.2">
      <c r="A247" s="47"/>
      <c r="B247" s="7" t="s">
        <v>235</v>
      </c>
      <c r="C247" s="9" t="s">
        <v>4</v>
      </c>
      <c r="D247" s="9" t="s">
        <v>4</v>
      </c>
      <c r="E247" s="9" t="s">
        <v>4</v>
      </c>
      <c r="F247" s="9" t="s">
        <v>4</v>
      </c>
      <c r="G247" s="9" t="s">
        <v>4</v>
      </c>
      <c r="H247" s="9" t="s">
        <v>4</v>
      </c>
      <c r="I247" s="9" t="s">
        <v>4</v>
      </c>
      <c r="J247" s="9" t="s">
        <v>4</v>
      </c>
      <c r="K247" s="9" t="s">
        <v>4</v>
      </c>
      <c r="L247" s="9" t="s">
        <v>4</v>
      </c>
      <c r="M247" s="9" t="s">
        <v>4</v>
      </c>
      <c r="N247" s="9" t="s">
        <v>4</v>
      </c>
      <c r="O247" s="9" t="s">
        <v>4</v>
      </c>
      <c r="P247" s="9" t="s">
        <v>4</v>
      </c>
      <c r="Q247" s="9" t="s">
        <v>4</v>
      </c>
      <c r="R247" s="9" t="s">
        <v>4</v>
      </c>
      <c r="S247" s="9" t="s">
        <v>4</v>
      </c>
      <c r="T247" s="9" t="s">
        <v>4</v>
      </c>
      <c r="U247" s="9" t="s">
        <v>4</v>
      </c>
      <c r="V247" s="9" t="s">
        <v>4</v>
      </c>
      <c r="W247" s="9" t="s">
        <v>4</v>
      </c>
      <c r="X247" s="9" t="s">
        <v>4</v>
      </c>
      <c r="Y247" s="9" t="s">
        <v>4</v>
      </c>
      <c r="Z247" s="25" t="s">
        <v>4</v>
      </c>
    </row>
    <row r="248" spans="1:26" x14ac:dyDescent="0.2">
      <c r="A248" s="47"/>
      <c r="B248" s="7" t="s">
        <v>236</v>
      </c>
      <c r="C248" s="9" t="s">
        <v>4</v>
      </c>
      <c r="D248" s="9" t="s">
        <v>4</v>
      </c>
      <c r="E248" s="9" t="s">
        <v>4</v>
      </c>
      <c r="F248" s="9" t="s">
        <v>4</v>
      </c>
      <c r="G248" s="9" t="s">
        <v>4</v>
      </c>
      <c r="H248" s="9" t="s">
        <v>4</v>
      </c>
      <c r="I248" s="9" t="s">
        <v>4</v>
      </c>
      <c r="J248" s="9" t="s">
        <v>4</v>
      </c>
      <c r="K248" s="9" t="s">
        <v>4</v>
      </c>
      <c r="L248" s="9" t="s">
        <v>4</v>
      </c>
      <c r="M248" s="9" t="s">
        <v>4</v>
      </c>
      <c r="N248" s="9" t="s">
        <v>4</v>
      </c>
      <c r="O248" s="9" t="s">
        <v>4</v>
      </c>
      <c r="P248" s="9" t="s">
        <v>4</v>
      </c>
      <c r="Q248" s="9" t="s">
        <v>4</v>
      </c>
      <c r="R248" s="9" t="s">
        <v>4</v>
      </c>
      <c r="S248" s="9" t="s">
        <v>4</v>
      </c>
      <c r="T248" s="9" t="s">
        <v>4</v>
      </c>
      <c r="U248" s="9" t="s">
        <v>4</v>
      </c>
      <c r="V248" s="9" t="s">
        <v>4</v>
      </c>
      <c r="W248" s="9" t="s">
        <v>4</v>
      </c>
      <c r="X248" s="9" t="s">
        <v>4</v>
      </c>
      <c r="Y248" s="9" t="s">
        <v>4</v>
      </c>
      <c r="Z248" s="25" t="s">
        <v>4</v>
      </c>
    </row>
    <row r="249" spans="1:26" x14ac:dyDescent="0.2">
      <c r="A249" s="47"/>
      <c r="B249" s="7" t="s">
        <v>237</v>
      </c>
      <c r="C249" s="9" t="s">
        <v>4</v>
      </c>
      <c r="D249" s="9" t="s">
        <v>4</v>
      </c>
      <c r="E249" s="9" t="s">
        <v>4</v>
      </c>
      <c r="F249" s="9" t="s">
        <v>4</v>
      </c>
      <c r="G249" s="9" t="s">
        <v>4</v>
      </c>
      <c r="H249" s="9" t="s">
        <v>4</v>
      </c>
      <c r="I249" s="9" t="s">
        <v>4</v>
      </c>
      <c r="J249" s="9" t="s">
        <v>4</v>
      </c>
      <c r="K249" s="9" t="s">
        <v>4</v>
      </c>
      <c r="L249" s="9" t="s">
        <v>4</v>
      </c>
      <c r="M249" s="9" t="s">
        <v>4</v>
      </c>
      <c r="N249" s="9" t="s">
        <v>4</v>
      </c>
      <c r="O249" s="9" t="s">
        <v>4</v>
      </c>
      <c r="P249" s="9" t="s">
        <v>4</v>
      </c>
      <c r="Q249" s="9" t="s">
        <v>4</v>
      </c>
      <c r="R249" s="9" t="s">
        <v>4</v>
      </c>
      <c r="S249" s="9" t="s">
        <v>4</v>
      </c>
      <c r="T249" s="9" t="s">
        <v>4</v>
      </c>
      <c r="U249" s="9" t="s">
        <v>4</v>
      </c>
      <c r="V249" s="9" t="s">
        <v>4</v>
      </c>
      <c r="W249" s="9" t="s">
        <v>4</v>
      </c>
      <c r="X249" s="9" t="s">
        <v>4</v>
      </c>
      <c r="Y249" s="9" t="s">
        <v>4</v>
      </c>
      <c r="Z249" s="25" t="s">
        <v>4</v>
      </c>
    </row>
    <row r="250" spans="1:26" x14ac:dyDescent="0.2">
      <c r="A250" s="47"/>
      <c r="B250" s="7" t="s">
        <v>238</v>
      </c>
      <c r="C250" s="9" t="s">
        <v>4</v>
      </c>
      <c r="D250" s="9" t="s">
        <v>4</v>
      </c>
      <c r="E250" s="9" t="s">
        <v>4</v>
      </c>
      <c r="F250" s="9" t="s">
        <v>4</v>
      </c>
      <c r="G250" s="9" t="s">
        <v>4</v>
      </c>
      <c r="H250" s="9" t="s">
        <v>4</v>
      </c>
      <c r="I250" s="9" t="s">
        <v>4</v>
      </c>
      <c r="J250" s="9" t="s">
        <v>4</v>
      </c>
      <c r="K250" s="9" t="s">
        <v>4</v>
      </c>
      <c r="L250" s="9" t="s">
        <v>4</v>
      </c>
      <c r="M250" s="9" t="s">
        <v>4</v>
      </c>
      <c r="N250" s="9" t="s">
        <v>4</v>
      </c>
      <c r="O250" s="9" t="s">
        <v>4</v>
      </c>
      <c r="P250" s="9" t="s">
        <v>4</v>
      </c>
      <c r="Q250" s="9" t="s">
        <v>4</v>
      </c>
      <c r="R250" s="9" t="s">
        <v>4</v>
      </c>
      <c r="S250" s="9" t="s">
        <v>4</v>
      </c>
      <c r="T250" s="9" t="s">
        <v>4</v>
      </c>
      <c r="U250" s="9" t="s">
        <v>4</v>
      </c>
      <c r="V250" s="9" t="s">
        <v>4</v>
      </c>
      <c r="W250" s="9" t="s">
        <v>4</v>
      </c>
      <c r="X250" s="9" t="s">
        <v>4</v>
      </c>
      <c r="Y250" s="9" t="s">
        <v>4</v>
      </c>
      <c r="Z250" s="25" t="s">
        <v>4</v>
      </c>
    </row>
    <row r="251" spans="1:26" x14ac:dyDescent="0.2">
      <c r="A251" s="47"/>
      <c r="B251" s="7" t="s">
        <v>239</v>
      </c>
      <c r="C251" s="9" t="s">
        <v>4</v>
      </c>
      <c r="D251" s="9" t="s">
        <v>4</v>
      </c>
      <c r="E251" s="9" t="s">
        <v>4</v>
      </c>
      <c r="F251" s="9" t="s">
        <v>4</v>
      </c>
      <c r="G251" s="9" t="s">
        <v>4</v>
      </c>
      <c r="H251" s="9" t="s">
        <v>4</v>
      </c>
      <c r="I251" s="9" t="s">
        <v>4</v>
      </c>
      <c r="J251" s="9" t="s">
        <v>4</v>
      </c>
      <c r="K251" s="9" t="s">
        <v>4</v>
      </c>
      <c r="L251" s="9" t="s">
        <v>4</v>
      </c>
      <c r="M251" s="9" t="s">
        <v>4</v>
      </c>
      <c r="N251" s="9" t="s">
        <v>4</v>
      </c>
      <c r="O251" s="9" t="s">
        <v>4</v>
      </c>
      <c r="P251" s="9" t="s">
        <v>4</v>
      </c>
      <c r="Q251" s="9" t="s">
        <v>4</v>
      </c>
      <c r="R251" s="9" t="s">
        <v>4</v>
      </c>
      <c r="S251" s="9" t="s">
        <v>4</v>
      </c>
      <c r="T251" s="9" t="s">
        <v>4</v>
      </c>
      <c r="U251" s="9" t="s">
        <v>4</v>
      </c>
      <c r="V251" s="9" t="s">
        <v>4</v>
      </c>
      <c r="W251" s="9" t="s">
        <v>4</v>
      </c>
      <c r="X251" s="9" t="s">
        <v>4</v>
      </c>
      <c r="Y251" s="9" t="s">
        <v>4</v>
      </c>
      <c r="Z251" s="25" t="s">
        <v>4</v>
      </c>
    </row>
    <row r="252" spans="1:26" x14ac:dyDescent="0.2">
      <c r="A252" s="47"/>
      <c r="B252" s="7" t="s">
        <v>240</v>
      </c>
      <c r="C252" s="9" t="s">
        <v>4</v>
      </c>
      <c r="D252" s="9" t="s">
        <v>4</v>
      </c>
      <c r="E252" s="9" t="s">
        <v>4</v>
      </c>
      <c r="F252" s="9" t="s">
        <v>4</v>
      </c>
      <c r="G252" s="9" t="s">
        <v>4</v>
      </c>
      <c r="H252" s="9" t="s">
        <v>4</v>
      </c>
      <c r="I252" s="9" t="s">
        <v>4</v>
      </c>
      <c r="J252" s="9" t="s">
        <v>4</v>
      </c>
      <c r="K252" s="9" t="s">
        <v>4</v>
      </c>
      <c r="L252" s="9" t="s">
        <v>4</v>
      </c>
      <c r="M252" s="9" t="s">
        <v>4</v>
      </c>
      <c r="N252" s="9" t="s">
        <v>4</v>
      </c>
      <c r="O252" s="9" t="s">
        <v>4</v>
      </c>
      <c r="P252" s="9" t="s">
        <v>4</v>
      </c>
      <c r="Q252" s="9" t="s">
        <v>4</v>
      </c>
      <c r="R252" s="9" t="s">
        <v>4</v>
      </c>
      <c r="S252" s="9" t="s">
        <v>4</v>
      </c>
      <c r="T252" s="9" t="s">
        <v>4</v>
      </c>
      <c r="U252" s="9" t="s">
        <v>4</v>
      </c>
      <c r="V252" s="9" t="s">
        <v>4</v>
      </c>
      <c r="W252" s="9" t="s">
        <v>4</v>
      </c>
      <c r="X252" s="9" t="s">
        <v>4</v>
      </c>
      <c r="Y252" s="9" t="s">
        <v>4</v>
      </c>
      <c r="Z252" s="25" t="s">
        <v>4</v>
      </c>
    </row>
    <row r="253" spans="1:26" x14ac:dyDescent="0.2">
      <c r="A253" s="47"/>
      <c r="B253" s="7" t="s">
        <v>241</v>
      </c>
      <c r="C253" s="9" t="s">
        <v>4</v>
      </c>
      <c r="D253" s="9" t="s">
        <v>4</v>
      </c>
      <c r="E253" s="9" t="s">
        <v>4</v>
      </c>
      <c r="F253" s="9" t="s">
        <v>4</v>
      </c>
      <c r="G253" s="9" t="s">
        <v>4</v>
      </c>
      <c r="H253" s="9" t="s">
        <v>4</v>
      </c>
      <c r="I253" s="9" t="s">
        <v>4</v>
      </c>
      <c r="J253" s="9" t="s">
        <v>4</v>
      </c>
      <c r="K253" s="9" t="s">
        <v>4</v>
      </c>
      <c r="L253" s="9" t="s">
        <v>4</v>
      </c>
      <c r="M253" s="9" t="s">
        <v>4</v>
      </c>
      <c r="N253" s="9" t="s">
        <v>4</v>
      </c>
      <c r="O253" s="9" t="s">
        <v>4</v>
      </c>
      <c r="P253" s="9" t="s">
        <v>4</v>
      </c>
      <c r="Q253" s="9" t="s">
        <v>4</v>
      </c>
      <c r="R253" s="9" t="s">
        <v>4</v>
      </c>
      <c r="S253" s="9" t="s">
        <v>4</v>
      </c>
      <c r="T253" s="9" t="s">
        <v>4</v>
      </c>
      <c r="U253" s="9" t="s">
        <v>4</v>
      </c>
      <c r="V253" s="9" t="s">
        <v>4</v>
      </c>
      <c r="W253" s="9" t="s">
        <v>4</v>
      </c>
      <c r="X253" s="9" t="s">
        <v>4</v>
      </c>
      <c r="Y253" s="9" t="s">
        <v>4</v>
      </c>
      <c r="Z253" s="25" t="s">
        <v>4</v>
      </c>
    </row>
    <row r="254" spans="1:26" x14ac:dyDescent="0.2">
      <c r="A254" s="47"/>
      <c r="B254" s="7" t="s">
        <v>242</v>
      </c>
      <c r="C254" s="9" t="s">
        <v>4</v>
      </c>
      <c r="D254" s="9" t="s">
        <v>4</v>
      </c>
      <c r="E254" s="9" t="s">
        <v>4</v>
      </c>
      <c r="F254" s="9" t="s">
        <v>4</v>
      </c>
      <c r="G254" s="9" t="s">
        <v>4</v>
      </c>
      <c r="H254" s="9" t="s">
        <v>4</v>
      </c>
      <c r="I254" s="9" t="s">
        <v>4</v>
      </c>
      <c r="J254" s="9" t="s">
        <v>4</v>
      </c>
      <c r="K254" s="9" t="s">
        <v>4</v>
      </c>
      <c r="L254" s="9" t="s">
        <v>4</v>
      </c>
      <c r="M254" s="9" t="s">
        <v>4</v>
      </c>
      <c r="N254" s="9" t="s">
        <v>4</v>
      </c>
      <c r="O254" s="9" t="s">
        <v>4</v>
      </c>
      <c r="P254" s="9" t="s">
        <v>4</v>
      </c>
      <c r="Q254" s="9" t="s">
        <v>4</v>
      </c>
      <c r="R254" s="9" t="s">
        <v>4</v>
      </c>
      <c r="S254" s="9" t="s">
        <v>4</v>
      </c>
      <c r="T254" s="9" t="s">
        <v>4</v>
      </c>
      <c r="U254" s="9" t="s">
        <v>4</v>
      </c>
      <c r="V254" s="9" t="s">
        <v>4</v>
      </c>
      <c r="W254" s="9" t="s">
        <v>4</v>
      </c>
      <c r="X254" s="9" t="s">
        <v>4</v>
      </c>
      <c r="Y254" s="9" t="s">
        <v>4</v>
      </c>
      <c r="Z254" s="25" t="s">
        <v>4</v>
      </c>
    </row>
    <row r="255" spans="1:26" x14ac:dyDescent="0.2">
      <c r="A255" s="47"/>
      <c r="B255" s="7" t="s">
        <v>243</v>
      </c>
      <c r="C255" s="9" t="s">
        <v>4</v>
      </c>
      <c r="D255" s="9" t="s">
        <v>4</v>
      </c>
      <c r="E255" s="9" t="s">
        <v>4</v>
      </c>
      <c r="F255" s="9" t="s">
        <v>4</v>
      </c>
      <c r="G255" s="9" t="s">
        <v>4</v>
      </c>
      <c r="H255" s="9" t="s">
        <v>4</v>
      </c>
      <c r="I255" s="9" t="s">
        <v>4</v>
      </c>
      <c r="J255" s="9" t="s">
        <v>4</v>
      </c>
      <c r="K255" s="9" t="s">
        <v>4</v>
      </c>
      <c r="L255" s="9" t="s">
        <v>4</v>
      </c>
      <c r="M255" s="9" t="s">
        <v>4</v>
      </c>
      <c r="N255" s="9" t="s">
        <v>4</v>
      </c>
      <c r="O255" s="9" t="s">
        <v>4</v>
      </c>
      <c r="P255" s="9" t="s">
        <v>4</v>
      </c>
      <c r="Q255" s="9" t="s">
        <v>4</v>
      </c>
      <c r="R255" s="9" t="s">
        <v>4</v>
      </c>
      <c r="S255" s="9" t="s">
        <v>4</v>
      </c>
      <c r="T255" s="9" t="s">
        <v>4</v>
      </c>
      <c r="U255" s="9" t="s">
        <v>4</v>
      </c>
      <c r="V255" s="9" t="s">
        <v>4</v>
      </c>
      <c r="W255" s="9" t="s">
        <v>4</v>
      </c>
      <c r="X255" s="9" t="s">
        <v>4</v>
      </c>
      <c r="Y255" s="9" t="s">
        <v>4</v>
      </c>
      <c r="Z255" s="25" t="s">
        <v>4</v>
      </c>
    </row>
    <row r="256" spans="1:26" x14ac:dyDescent="0.2">
      <c r="A256" s="47"/>
      <c r="B256" s="7" t="s">
        <v>244</v>
      </c>
      <c r="C256" s="9" t="s">
        <v>4</v>
      </c>
      <c r="D256" s="9" t="s">
        <v>4</v>
      </c>
      <c r="E256" s="9" t="s">
        <v>4</v>
      </c>
      <c r="F256" s="9" t="s">
        <v>4</v>
      </c>
      <c r="G256" s="9" t="s">
        <v>4</v>
      </c>
      <c r="H256" s="9" t="s">
        <v>4</v>
      </c>
      <c r="I256" s="9" t="s">
        <v>4</v>
      </c>
      <c r="J256" s="9" t="s">
        <v>4</v>
      </c>
      <c r="K256" s="9" t="s">
        <v>4</v>
      </c>
      <c r="L256" s="9" t="s">
        <v>4</v>
      </c>
      <c r="M256" s="9" t="s">
        <v>4</v>
      </c>
      <c r="N256" s="9" t="s">
        <v>4</v>
      </c>
      <c r="O256" s="9" t="s">
        <v>4</v>
      </c>
      <c r="P256" s="9" t="s">
        <v>4</v>
      </c>
      <c r="Q256" s="9" t="s">
        <v>4</v>
      </c>
      <c r="R256" s="9" t="s">
        <v>4</v>
      </c>
      <c r="S256" s="9" t="s">
        <v>4</v>
      </c>
      <c r="T256" s="9" t="s">
        <v>4</v>
      </c>
      <c r="U256" s="9" t="s">
        <v>4</v>
      </c>
      <c r="V256" s="9" t="s">
        <v>4</v>
      </c>
      <c r="W256" s="9" t="s">
        <v>4</v>
      </c>
      <c r="X256" s="9" t="s">
        <v>4</v>
      </c>
      <c r="Y256" s="9" t="s">
        <v>4</v>
      </c>
      <c r="Z256" s="25" t="s">
        <v>4</v>
      </c>
    </row>
    <row r="257" spans="1:26" x14ac:dyDescent="0.2">
      <c r="A257" s="47"/>
      <c r="B257" s="7" t="s">
        <v>245</v>
      </c>
      <c r="C257" s="9" t="s">
        <v>4</v>
      </c>
      <c r="D257" s="9" t="s">
        <v>4</v>
      </c>
      <c r="E257" s="9" t="s">
        <v>4</v>
      </c>
      <c r="F257" s="9" t="s">
        <v>4</v>
      </c>
      <c r="G257" s="9" t="s">
        <v>4</v>
      </c>
      <c r="H257" s="9" t="s">
        <v>4</v>
      </c>
      <c r="I257" s="9" t="s">
        <v>4</v>
      </c>
      <c r="J257" s="9" t="s">
        <v>4</v>
      </c>
      <c r="K257" s="9" t="s">
        <v>4</v>
      </c>
      <c r="L257" s="9" t="s">
        <v>4</v>
      </c>
      <c r="M257" s="9" t="s">
        <v>4</v>
      </c>
      <c r="N257" s="9" t="s">
        <v>4</v>
      </c>
      <c r="O257" s="9" t="s">
        <v>4</v>
      </c>
      <c r="P257" s="9" t="s">
        <v>4</v>
      </c>
      <c r="Q257" s="9" t="s">
        <v>4</v>
      </c>
      <c r="R257" s="9" t="s">
        <v>4</v>
      </c>
      <c r="S257" s="9" t="s">
        <v>4</v>
      </c>
      <c r="T257" s="9" t="s">
        <v>4</v>
      </c>
      <c r="U257" s="9" t="s">
        <v>4</v>
      </c>
      <c r="V257" s="9" t="s">
        <v>4</v>
      </c>
      <c r="W257" s="9" t="s">
        <v>4</v>
      </c>
      <c r="X257" s="9" t="s">
        <v>4</v>
      </c>
      <c r="Y257" s="9" t="s">
        <v>4</v>
      </c>
      <c r="Z257" s="25" t="s">
        <v>4</v>
      </c>
    </row>
    <row r="258" spans="1:26" x14ac:dyDescent="0.2">
      <c r="A258" s="47"/>
      <c r="B258" s="7" t="s">
        <v>246</v>
      </c>
      <c r="C258" s="9" t="s">
        <v>4</v>
      </c>
      <c r="D258" s="9" t="s">
        <v>4</v>
      </c>
      <c r="E258" s="9" t="s">
        <v>4</v>
      </c>
      <c r="F258" s="9" t="s">
        <v>4</v>
      </c>
      <c r="G258" s="9" t="s">
        <v>4</v>
      </c>
      <c r="H258" s="9" t="s">
        <v>4</v>
      </c>
      <c r="I258" s="9" t="s">
        <v>4</v>
      </c>
      <c r="J258" s="9" t="s">
        <v>4</v>
      </c>
      <c r="K258" s="9" t="s">
        <v>4</v>
      </c>
      <c r="L258" s="9" t="s">
        <v>4</v>
      </c>
      <c r="M258" s="9" t="s">
        <v>4</v>
      </c>
      <c r="N258" s="9" t="s">
        <v>4</v>
      </c>
      <c r="O258" s="9" t="s">
        <v>4</v>
      </c>
      <c r="P258" s="9" t="s">
        <v>4</v>
      </c>
      <c r="Q258" s="9" t="s">
        <v>4</v>
      </c>
      <c r="R258" s="9" t="s">
        <v>4</v>
      </c>
      <c r="S258" s="9" t="s">
        <v>4</v>
      </c>
      <c r="T258" s="9" t="s">
        <v>4</v>
      </c>
      <c r="U258" s="9" t="s">
        <v>4</v>
      </c>
      <c r="V258" s="9" t="s">
        <v>4</v>
      </c>
      <c r="W258" s="9" t="s">
        <v>4</v>
      </c>
      <c r="X258" s="9" t="s">
        <v>4</v>
      </c>
      <c r="Y258" s="9" t="s">
        <v>4</v>
      </c>
      <c r="Z258" s="25" t="s">
        <v>4</v>
      </c>
    </row>
    <row r="259" spans="1:26" ht="15.75" customHeight="1" thickBot="1" x14ac:dyDescent="0.25">
      <c r="A259" s="48"/>
      <c r="B259" s="43" t="s">
        <v>247</v>
      </c>
      <c r="C259" s="27" t="s">
        <v>4</v>
      </c>
      <c r="D259" s="27" t="s">
        <v>4</v>
      </c>
      <c r="E259" s="27" t="s">
        <v>4</v>
      </c>
      <c r="F259" s="27" t="s">
        <v>4</v>
      </c>
      <c r="G259" s="27" t="s">
        <v>4</v>
      </c>
      <c r="H259" s="27" t="s">
        <v>4</v>
      </c>
      <c r="I259" s="27" t="s">
        <v>4</v>
      </c>
      <c r="J259" s="27" t="s">
        <v>4</v>
      </c>
      <c r="K259" s="27" t="s">
        <v>4</v>
      </c>
      <c r="L259" s="27" t="s">
        <v>4</v>
      </c>
      <c r="M259" s="27" t="s">
        <v>4</v>
      </c>
      <c r="N259" s="27" t="s">
        <v>4</v>
      </c>
      <c r="O259" s="27" t="s">
        <v>4</v>
      </c>
      <c r="P259" s="27" t="s">
        <v>4</v>
      </c>
      <c r="Q259" s="27" t="s">
        <v>4</v>
      </c>
      <c r="R259" s="27" t="s">
        <v>4</v>
      </c>
      <c r="S259" s="27" t="s">
        <v>4</v>
      </c>
      <c r="T259" s="27" t="s">
        <v>4</v>
      </c>
      <c r="U259" s="27" t="s">
        <v>4</v>
      </c>
      <c r="V259" s="27" t="s">
        <v>4</v>
      </c>
      <c r="W259" s="27" t="s">
        <v>4</v>
      </c>
      <c r="X259" s="27" t="s">
        <v>4</v>
      </c>
      <c r="Y259" s="27" t="s">
        <v>4</v>
      </c>
      <c r="Z259" s="28" t="s">
        <v>4</v>
      </c>
    </row>
    <row r="260" spans="1:26" x14ac:dyDescent="0.2">
      <c r="A260" s="46" t="s">
        <v>248</v>
      </c>
      <c r="B260" s="42" t="s">
        <v>249</v>
      </c>
      <c r="C260" s="23" t="s">
        <v>3</v>
      </c>
      <c r="D260" s="23" t="s">
        <v>3</v>
      </c>
      <c r="E260" s="23" t="s">
        <v>4</v>
      </c>
      <c r="F260" s="23" t="s">
        <v>4</v>
      </c>
      <c r="G260" s="23" t="s">
        <v>4</v>
      </c>
      <c r="H260" s="23" t="s">
        <v>4</v>
      </c>
      <c r="I260" s="23" t="s">
        <v>4</v>
      </c>
      <c r="J260" s="23" t="s">
        <v>4</v>
      </c>
      <c r="K260" s="23" t="s">
        <v>4</v>
      </c>
      <c r="L260" s="23" t="s">
        <v>4</v>
      </c>
      <c r="M260" s="23" t="s">
        <v>4</v>
      </c>
      <c r="N260" s="23" t="s">
        <v>4</v>
      </c>
      <c r="O260" s="23" t="s">
        <v>4</v>
      </c>
      <c r="P260" s="23" t="s">
        <v>4</v>
      </c>
      <c r="Q260" s="23" t="s">
        <v>4</v>
      </c>
      <c r="R260" s="23" t="s">
        <v>4</v>
      </c>
      <c r="S260" s="23" t="s">
        <v>4</v>
      </c>
      <c r="T260" s="23" t="s">
        <v>4</v>
      </c>
      <c r="U260" s="23" t="s">
        <v>4</v>
      </c>
      <c r="V260" s="23" t="s">
        <v>4</v>
      </c>
      <c r="W260" s="23" t="s">
        <v>4</v>
      </c>
      <c r="X260" s="23" t="s">
        <v>4</v>
      </c>
      <c r="Y260" s="23" t="s">
        <v>4</v>
      </c>
      <c r="Z260" s="24" t="s">
        <v>4</v>
      </c>
    </row>
    <row r="261" spans="1:26" x14ac:dyDescent="0.2">
      <c r="A261" s="47"/>
      <c r="B261" s="7" t="s">
        <v>250</v>
      </c>
      <c r="C261" s="9" t="s">
        <v>3</v>
      </c>
      <c r="D261" s="9" t="s">
        <v>3</v>
      </c>
      <c r="E261" s="9" t="s">
        <v>4</v>
      </c>
      <c r="F261" s="9" t="s">
        <v>4</v>
      </c>
      <c r="G261" s="9" t="s">
        <v>4</v>
      </c>
      <c r="H261" s="9" t="s">
        <v>4</v>
      </c>
      <c r="I261" s="9" t="s">
        <v>4</v>
      </c>
      <c r="J261" s="9" t="s">
        <v>4</v>
      </c>
      <c r="K261" s="9" t="s">
        <v>4</v>
      </c>
      <c r="L261" s="9" t="s">
        <v>4</v>
      </c>
      <c r="M261" s="9" t="s">
        <v>4</v>
      </c>
      <c r="N261" s="9" t="s">
        <v>4</v>
      </c>
      <c r="O261" s="9" t="s">
        <v>4</v>
      </c>
      <c r="P261" s="9" t="s">
        <v>4</v>
      </c>
      <c r="Q261" s="9" t="s">
        <v>4</v>
      </c>
      <c r="R261" s="9" t="s">
        <v>4</v>
      </c>
      <c r="S261" s="9" t="s">
        <v>4</v>
      </c>
      <c r="T261" s="9" t="s">
        <v>4</v>
      </c>
      <c r="U261" s="9" t="s">
        <v>4</v>
      </c>
      <c r="V261" s="9" t="s">
        <v>4</v>
      </c>
      <c r="W261" s="9" t="s">
        <v>4</v>
      </c>
      <c r="X261" s="9" t="s">
        <v>4</v>
      </c>
      <c r="Y261" s="9" t="s">
        <v>4</v>
      </c>
      <c r="Z261" s="25" t="s">
        <v>4</v>
      </c>
    </row>
    <row r="262" spans="1:26" x14ac:dyDescent="0.2">
      <c r="A262" s="47"/>
      <c r="B262" s="7" t="s">
        <v>251</v>
      </c>
      <c r="C262" s="9" t="s">
        <v>3</v>
      </c>
      <c r="D262" s="9" t="s">
        <v>3</v>
      </c>
      <c r="E262" s="9" t="s">
        <v>4</v>
      </c>
      <c r="F262" s="9" t="s">
        <v>4</v>
      </c>
      <c r="G262" s="9" t="s">
        <v>4</v>
      </c>
      <c r="H262" s="9" t="s">
        <v>4</v>
      </c>
      <c r="I262" s="9" t="s">
        <v>4</v>
      </c>
      <c r="J262" s="9" t="s">
        <v>4</v>
      </c>
      <c r="K262" s="9" t="s">
        <v>4</v>
      </c>
      <c r="L262" s="9" t="s">
        <v>4</v>
      </c>
      <c r="M262" s="9" t="s">
        <v>4</v>
      </c>
      <c r="N262" s="9" t="s">
        <v>4</v>
      </c>
      <c r="O262" s="9" t="s">
        <v>4</v>
      </c>
      <c r="P262" s="9" t="s">
        <v>4</v>
      </c>
      <c r="Q262" s="9" t="s">
        <v>4</v>
      </c>
      <c r="R262" s="9" t="s">
        <v>4</v>
      </c>
      <c r="S262" s="9" t="s">
        <v>4</v>
      </c>
      <c r="T262" s="9" t="s">
        <v>4</v>
      </c>
      <c r="U262" s="9" t="s">
        <v>4</v>
      </c>
      <c r="V262" s="9" t="s">
        <v>4</v>
      </c>
      <c r="W262" s="9" t="s">
        <v>4</v>
      </c>
      <c r="X262" s="9" t="s">
        <v>4</v>
      </c>
      <c r="Y262" s="9" t="s">
        <v>4</v>
      </c>
      <c r="Z262" s="25" t="s">
        <v>4</v>
      </c>
    </row>
    <row r="263" spans="1:26" x14ac:dyDescent="0.2">
      <c r="A263" s="47"/>
      <c r="B263" s="7" t="s">
        <v>252</v>
      </c>
      <c r="C263" s="9" t="s">
        <v>3</v>
      </c>
      <c r="D263" s="9" t="s">
        <v>3</v>
      </c>
      <c r="E263" s="9" t="s">
        <v>4</v>
      </c>
      <c r="F263" s="9" t="s">
        <v>4</v>
      </c>
      <c r="G263" s="9" t="s">
        <v>4</v>
      </c>
      <c r="H263" s="9" t="s">
        <v>4</v>
      </c>
      <c r="I263" s="9" t="s">
        <v>4</v>
      </c>
      <c r="J263" s="9" t="s">
        <v>4</v>
      </c>
      <c r="K263" s="9" t="s">
        <v>4</v>
      </c>
      <c r="L263" s="9" t="s">
        <v>4</v>
      </c>
      <c r="M263" s="9" t="s">
        <v>4</v>
      </c>
      <c r="N263" s="9" t="s">
        <v>4</v>
      </c>
      <c r="O263" s="9" t="s">
        <v>4</v>
      </c>
      <c r="P263" s="9" t="s">
        <v>4</v>
      </c>
      <c r="Q263" s="9" t="s">
        <v>4</v>
      </c>
      <c r="R263" s="9" t="s">
        <v>4</v>
      </c>
      <c r="S263" s="9" t="s">
        <v>4</v>
      </c>
      <c r="T263" s="9" t="s">
        <v>4</v>
      </c>
      <c r="U263" s="9" t="s">
        <v>4</v>
      </c>
      <c r="V263" s="9" t="s">
        <v>4</v>
      </c>
      <c r="W263" s="9" t="s">
        <v>4</v>
      </c>
      <c r="X263" s="9" t="s">
        <v>4</v>
      </c>
      <c r="Y263" s="9" t="s">
        <v>4</v>
      </c>
      <c r="Z263" s="25" t="s">
        <v>4</v>
      </c>
    </row>
    <row r="264" spans="1:26" x14ac:dyDescent="0.2">
      <c r="A264" s="47"/>
      <c r="B264" s="7" t="s">
        <v>253</v>
      </c>
      <c r="C264" s="9" t="s">
        <v>3</v>
      </c>
      <c r="D264" s="9" t="s">
        <v>3</v>
      </c>
      <c r="E264" s="9" t="s">
        <v>4</v>
      </c>
      <c r="F264" s="9" t="s">
        <v>4</v>
      </c>
      <c r="G264" s="9" t="s">
        <v>4</v>
      </c>
      <c r="H264" s="9" t="s">
        <v>4</v>
      </c>
      <c r="I264" s="9" t="s">
        <v>4</v>
      </c>
      <c r="J264" s="9" t="s">
        <v>4</v>
      </c>
      <c r="K264" s="9" t="s">
        <v>4</v>
      </c>
      <c r="L264" s="9" t="s">
        <v>4</v>
      </c>
      <c r="M264" s="9" t="s">
        <v>4</v>
      </c>
      <c r="N264" s="9" t="s">
        <v>4</v>
      </c>
      <c r="O264" s="9" t="s">
        <v>4</v>
      </c>
      <c r="P264" s="9" t="s">
        <v>4</v>
      </c>
      <c r="Q264" s="9" t="s">
        <v>4</v>
      </c>
      <c r="R264" s="9" t="s">
        <v>4</v>
      </c>
      <c r="S264" s="9" t="s">
        <v>4</v>
      </c>
      <c r="T264" s="9" t="s">
        <v>4</v>
      </c>
      <c r="U264" s="9" t="s">
        <v>4</v>
      </c>
      <c r="V264" s="9" t="s">
        <v>4</v>
      </c>
      <c r="W264" s="9" t="s">
        <v>4</v>
      </c>
      <c r="X264" s="9" t="s">
        <v>4</v>
      </c>
      <c r="Y264" s="9" t="s">
        <v>4</v>
      </c>
      <c r="Z264" s="25" t="s">
        <v>4</v>
      </c>
    </row>
    <row r="265" spans="1:26" x14ac:dyDescent="0.2">
      <c r="A265" s="47"/>
      <c r="B265" s="7" t="s">
        <v>254</v>
      </c>
      <c r="C265" s="9" t="s">
        <v>273</v>
      </c>
      <c r="D265" s="9" t="s">
        <v>273</v>
      </c>
      <c r="E265" s="9" t="s">
        <v>4</v>
      </c>
      <c r="F265" s="9" t="s">
        <v>4</v>
      </c>
      <c r="G265" s="9" t="s">
        <v>4</v>
      </c>
      <c r="H265" s="9" t="s">
        <v>4</v>
      </c>
      <c r="I265" s="9" t="s">
        <v>4</v>
      </c>
      <c r="J265" s="9" t="s">
        <v>4</v>
      </c>
      <c r="K265" s="9" t="s">
        <v>4</v>
      </c>
      <c r="L265" s="9" t="s">
        <v>4</v>
      </c>
      <c r="M265" s="9" t="s">
        <v>4</v>
      </c>
      <c r="N265" s="9" t="s">
        <v>4</v>
      </c>
      <c r="O265" s="9" t="s">
        <v>4</v>
      </c>
      <c r="P265" s="9" t="s">
        <v>4</v>
      </c>
      <c r="Q265" s="9" t="s">
        <v>4</v>
      </c>
      <c r="R265" s="9" t="s">
        <v>4</v>
      </c>
      <c r="S265" s="9" t="s">
        <v>4</v>
      </c>
      <c r="T265" s="9" t="s">
        <v>4</v>
      </c>
      <c r="U265" s="9" t="s">
        <v>4</v>
      </c>
      <c r="V265" s="9" t="s">
        <v>4</v>
      </c>
      <c r="W265" s="9" t="s">
        <v>4</v>
      </c>
      <c r="X265" s="9" t="s">
        <v>4</v>
      </c>
      <c r="Y265" s="9" t="s">
        <v>4</v>
      </c>
      <c r="Z265" s="25" t="s">
        <v>4</v>
      </c>
    </row>
    <row r="266" spans="1:26" x14ac:dyDescent="0.2">
      <c r="A266" s="47"/>
      <c r="B266" s="7" t="s">
        <v>255</v>
      </c>
      <c r="C266" s="9" t="s">
        <v>273</v>
      </c>
      <c r="D266" s="9" t="s">
        <v>273</v>
      </c>
      <c r="E266" s="9" t="s">
        <v>4</v>
      </c>
      <c r="F266" s="9" t="s">
        <v>4</v>
      </c>
      <c r="G266" s="9" t="s">
        <v>4</v>
      </c>
      <c r="H266" s="9" t="s">
        <v>4</v>
      </c>
      <c r="I266" s="9" t="s">
        <v>4</v>
      </c>
      <c r="J266" s="9" t="s">
        <v>4</v>
      </c>
      <c r="K266" s="9" t="s">
        <v>4</v>
      </c>
      <c r="L266" s="9" t="s">
        <v>4</v>
      </c>
      <c r="M266" s="9" t="s">
        <v>4</v>
      </c>
      <c r="N266" s="9" t="s">
        <v>4</v>
      </c>
      <c r="O266" s="9" t="s">
        <v>4</v>
      </c>
      <c r="P266" s="9" t="s">
        <v>4</v>
      </c>
      <c r="Q266" s="9" t="s">
        <v>4</v>
      </c>
      <c r="R266" s="9" t="s">
        <v>4</v>
      </c>
      <c r="S266" s="9" t="s">
        <v>4</v>
      </c>
      <c r="T266" s="9" t="s">
        <v>4</v>
      </c>
      <c r="U266" s="9" t="s">
        <v>4</v>
      </c>
      <c r="V266" s="9" t="s">
        <v>4</v>
      </c>
      <c r="W266" s="9" t="s">
        <v>4</v>
      </c>
      <c r="X266" s="9" t="s">
        <v>4</v>
      </c>
      <c r="Y266" s="9" t="s">
        <v>4</v>
      </c>
      <c r="Z266" s="25" t="s">
        <v>4</v>
      </c>
    </row>
    <row r="267" spans="1:26" x14ac:dyDescent="0.2">
      <c r="A267" s="47"/>
      <c r="B267" s="7" t="s">
        <v>256</v>
      </c>
      <c r="C267" s="9" t="s">
        <v>273</v>
      </c>
      <c r="D267" s="9" t="s">
        <v>273</v>
      </c>
      <c r="E267" s="9" t="s">
        <v>4</v>
      </c>
      <c r="F267" s="9" t="s">
        <v>4</v>
      </c>
      <c r="G267" s="9" t="s">
        <v>4</v>
      </c>
      <c r="H267" s="9" t="s">
        <v>4</v>
      </c>
      <c r="I267" s="9" t="s">
        <v>4</v>
      </c>
      <c r="J267" s="9" t="s">
        <v>4</v>
      </c>
      <c r="K267" s="9" t="s">
        <v>4</v>
      </c>
      <c r="L267" s="9" t="s">
        <v>4</v>
      </c>
      <c r="M267" s="9" t="s">
        <v>4</v>
      </c>
      <c r="N267" s="9" t="s">
        <v>4</v>
      </c>
      <c r="O267" s="9" t="s">
        <v>4</v>
      </c>
      <c r="P267" s="9" t="s">
        <v>4</v>
      </c>
      <c r="Q267" s="9" t="s">
        <v>4</v>
      </c>
      <c r="R267" s="9" t="s">
        <v>4</v>
      </c>
      <c r="S267" s="9" t="s">
        <v>4</v>
      </c>
      <c r="T267" s="9" t="s">
        <v>4</v>
      </c>
      <c r="U267" s="9" t="s">
        <v>4</v>
      </c>
      <c r="V267" s="9" t="s">
        <v>4</v>
      </c>
      <c r="W267" s="9" t="s">
        <v>4</v>
      </c>
      <c r="X267" s="9" t="s">
        <v>4</v>
      </c>
      <c r="Y267" s="9" t="s">
        <v>4</v>
      </c>
      <c r="Z267" s="25" t="s">
        <v>4</v>
      </c>
    </row>
    <row r="268" spans="1:26" x14ac:dyDescent="0.2">
      <c r="A268" s="47"/>
      <c r="B268" s="7" t="s">
        <v>257</v>
      </c>
      <c r="C268" s="9" t="s">
        <v>273</v>
      </c>
      <c r="D268" s="9" t="s">
        <v>273</v>
      </c>
      <c r="E268" s="9" t="s">
        <v>4</v>
      </c>
      <c r="F268" s="9" t="s">
        <v>4</v>
      </c>
      <c r="G268" s="9" t="s">
        <v>4</v>
      </c>
      <c r="H268" s="9" t="s">
        <v>4</v>
      </c>
      <c r="I268" s="9" t="s">
        <v>4</v>
      </c>
      <c r="J268" s="9" t="s">
        <v>4</v>
      </c>
      <c r="K268" s="9" t="s">
        <v>4</v>
      </c>
      <c r="L268" s="9" t="s">
        <v>4</v>
      </c>
      <c r="M268" s="9" t="s">
        <v>4</v>
      </c>
      <c r="N268" s="9" t="s">
        <v>4</v>
      </c>
      <c r="O268" s="9" t="s">
        <v>4</v>
      </c>
      <c r="P268" s="9" t="s">
        <v>4</v>
      </c>
      <c r="Q268" s="9" t="s">
        <v>4</v>
      </c>
      <c r="R268" s="9" t="s">
        <v>4</v>
      </c>
      <c r="S268" s="9" t="s">
        <v>4</v>
      </c>
      <c r="T268" s="9" t="s">
        <v>4</v>
      </c>
      <c r="U268" s="9" t="s">
        <v>4</v>
      </c>
      <c r="V268" s="9" t="s">
        <v>4</v>
      </c>
      <c r="W268" s="9" t="s">
        <v>4</v>
      </c>
      <c r="X268" s="9" t="s">
        <v>4</v>
      </c>
      <c r="Y268" s="9" t="s">
        <v>4</v>
      </c>
      <c r="Z268" s="25" t="s">
        <v>4</v>
      </c>
    </row>
    <row r="269" spans="1:26" x14ac:dyDescent="0.2">
      <c r="A269" s="47"/>
      <c r="B269" s="7" t="s">
        <v>258</v>
      </c>
      <c r="C269" s="9" t="s">
        <v>273</v>
      </c>
      <c r="D269" s="9" t="s">
        <v>273</v>
      </c>
      <c r="E269" s="9" t="s">
        <v>4</v>
      </c>
      <c r="F269" s="9" t="s">
        <v>4</v>
      </c>
      <c r="G269" s="9" t="s">
        <v>4</v>
      </c>
      <c r="H269" s="9" t="s">
        <v>4</v>
      </c>
      <c r="I269" s="9" t="s">
        <v>4</v>
      </c>
      <c r="J269" s="9" t="s">
        <v>4</v>
      </c>
      <c r="K269" s="9" t="s">
        <v>4</v>
      </c>
      <c r="L269" s="9" t="s">
        <v>4</v>
      </c>
      <c r="M269" s="9" t="s">
        <v>4</v>
      </c>
      <c r="N269" s="9" t="s">
        <v>4</v>
      </c>
      <c r="O269" s="9" t="s">
        <v>4</v>
      </c>
      <c r="P269" s="9" t="s">
        <v>4</v>
      </c>
      <c r="Q269" s="9" t="s">
        <v>4</v>
      </c>
      <c r="R269" s="9" t="s">
        <v>4</v>
      </c>
      <c r="S269" s="9" t="s">
        <v>4</v>
      </c>
      <c r="T269" s="9" t="s">
        <v>4</v>
      </c>
      <c r="U269" s="9" t="s">
        <v>4</v>
      </c>
      <c r="V269" s="9" t="s">
        <v>4</v>
      </c>
      <c r="W269" s="9" t="s">
        <v>4</v>
      </c>
      <c r="X269" s="9" t="s">
        <v>4</v>
      </c>
      <c r="Y269" s="9" t="s">
        <v>4</v>
      </c>
      <c r="Z269" s="25" t="s">
        <v>4</v>
      </c>
    </row>
    <row r="270" spans="1:26" x14ac:dyDescent="0.2">
      <c r="A270" s="47"/>
      <c r="B270" s="7" t="s">
        <v>259</v>
      </c>
      <c r="C270" s="9" t="s">
        <v>273</v>
      </c>
      <c r="D270" s="9" t="s">
        <v>273</v>
      </c>
      <c r="E270" s="9" t="s">
        <v>4</v>
      </c>
      <c r="F270" s="9" t="s">
        <v>4</v>
      </c>
      <c r="G270" s="9" t="s">
        <v>4</v>
      </c>
      <c r="H270" s="9" t="s">
        <v>4</v>
      </c>
      <c r="I270" s="9" t="s">
        <v>4</v>
      </c>
      <c r="J270" s="9" t="s">
        <v>4</v>
      </c>
      <c r="K270" s="9" t="s">
        <v>4</v>
      </c>
      <c r="L270" s="9" t="s">
        <v>4</v>
      </c>
      <c r="M270" s="9" t="s">
        <v>4</v>
      </c>
      <c r="N270" s="9" t="s">
        <v>4</v>
      </c>
      <c r="O270" s="9" t="s">
        <v>4</v>
      </c>
      <c r="P270" s="9" t="s">
        <v>4</v>
      </c>
      <c r="Q270" s="9" t="s">
        <v>4</v>
      </c>
      <c r="R270" s="9" t="s">
        <v>4</v>
      </c>
      <c r="S270" s="9" t="s">
        <v>4</v>
      </c>
      <c r="T270" s="9" t="s">
        <v>4</v>
      </c>
      <c r="U270" s="9" t="s">
        <v>4</v>
      </c>
      <c r="V270" s="9" t="s">
        <v>4</v>
      </c>
      <c r="W270" s="9" t="s">
        <v>4</v>
      </c>
      <c r="X270" s="9" t="s">
        <v>4</v>
      </c>
      <c r="Y270" s="9" t="s">
        <v>4</v>
      </c>
      <c r="Z270" s="25" t="s">
        <v>4</v>
      </c>
    </row>
    <row r="271" spans="1:26" x14ac:dyDescent="0.2">
      <c r="A271" s="47"/>
      <c r="B271" s="7" t="s">
        <v>260</v>
      </c>
      <c r="C271" s="9" t="s">
        <v>4</v>
      </c>
      <c r="D271" s="9" t="s">
        <v>4</v>
      </c>
      <c r="E271" s="9" t="s">
        <v>4</v>
      </c>
      <c r="F271" s="9" t="s">
        <v>4</v>
      </c>
      <c r="G271" s="9" t="s">
        <v>4</v>
      </c>
      <c r="H271" s="9" t="s">
        <v>4</v>
      </c>
      <c r="I271" s="9" t="s">
        <v>4</v>
      </c>
      <c r="J271" s="9" t="s">
        <v>4</v>
      </c>
      <c r="K271" s="9" t="s">
        <v>4</v>
      </c>
      <c r="L271" s="9" t="s">
        <v>4</v>
      </c>
      <c r="M271" s="9" t="s">
        <v>4</v>
      </c>
      <c r="N271" s="9" t="s">
        <v>4</v>
      </c>
      <c r="O271" s="9" t="s">
        <v>4</v>
      </c>
      <c r="P271" s="9" t="s">
        <v>4</v>
      </c>
      <c r="Q271" s="9" t="s">
        <v>4</v>
      </c>
      <c r="R271" s="9" t="s">
        <v>4</v>
      </c>
      <c r="S271" s="9" t="s">
        <v>4</v>
      </c>
      <c r="T271" s="9" t="s">
        <v>4</v>
      </c>
      <c r="U271" s="9" t="s">
        <v>4</v>
      </c>
      <c r="V271" s="9" t="s">
        <v>4</v>
      </c>
      <c r="W271" s="9" t="s">
        <v>4</v>
      </c>
      <c r="X271" s="9" t="s">
        <v>4</v>
      </c>
      <c r="Y271" s="9" t="s">
        <v>4</v>
      </c>
      <c r="Z271" s="25" t="s">
        <v>4</v>
      </c>
    </row>
    <row r="272" spans="1:26" x14ac:dyDescent="0.2">
      <c r="A272" s="47"/>
      <c r="B272" s="7" t="s">
        <v>261</v>
      </c>
      <c r="C272" s="9" t="s">
        <v>4</v>
      </c>
      <c r="D272" s="9" t="s">
        <v>4</v>
      </c>
      <c r="E272" s="9" t="s">
        <v>4</v>
      </c>
      <c r="F272" s="9" t="s">
        <v>4</v>
      </c>
      <c r="G272" s="9" t="s">
        <v>4</v>
      </c>
      <c r="H272" s="9" t="s">
        <v>4</v>
      </c>
      <c r="I272" s="9" t="s">
        <v>4</v>
      </c>
      <c r="J272" s="9" t="s">
        <v>4</v>
      </c>
      <c r="K272" s="9" t="s">
        <v>4</v>
      </c>
      <c r="L272" s="9" t="s">
        <v>4</v>
      </c>
      <c r="M272" s="9" t="s">
        <v>4</v>
      </c>
      <c r="N272" s="9" t="s">
        <v>4</v>
      </c>
      <c r="O272" s="9" t="s">
        <v>4</v>
      </c>
      <c r="P272" s="9" t="s">
        <v>4</v>
      </c>
      <c r="Q272" s="9" t="s">
        <v>4</v>
      </c>
      <c r="R272" s="9" t="s">
        <v>4</v>
      </c>
      <c r="S272" s="9" t="s">
        <v>4</v>
      </c>
      <c r="T272" s="9" t="s">
        <v>4</v>
      </c>
      <c r="U272" s="9" t="s">
        <v>4</v>
      </c>
      <c r="V272" s="9" t="s">
        <v>4</v>
      </c>
      <c r="W272" s="9" t="s">
        <v>4</v>
      </c>
      <c r="X272" s="9" t="s">
        <v>4</v>
      </c>
      <c r="Y272" s="9" t="s">
        <v>4</v>
      </c>
      <c r="Z272" s="25" t="s">
        <v>4</v>
      </c>
    </row>
    <row r="273" spans="1:26" x14ac:dyDescent="0.2">
      <c r="A273" s="47"/>
      <c r="B273" s="7" t="s">
        <v>262</v>
      </c>
      <c r="C273" s="9" t="s">
        <v>4</v>
      </c>
      <c r="D273" s="9" t="s">
        <v>4</v>
      </c>
      <c r="E273" s="9" t="s">
        <v>4</v>
      </c>
      <c r="F273" s="9" t="s">
        <v>4</v>
      </c>
      <c r="G273" s="9" t="s">
        <v>4</v>
      </c>
      <c r="H273" s="9" t="s">
        <v>4</v>
      </c>
      <c r="I273" s="9" t="s">
        <v>4</v>
      </c>
      <c r="J273" s="9" t="s">
        <v>4</v>
      </c>
      <c r="K273" s="9" t="s">
        <v>4</v>
      </c>
      <c r="L273" s="9" t="s">
        <v>4</v>
      </c>
      <c r="M273" s="9" t="s">
        <v>4</v>
      </c>
      <c r="N273" s="9" t="s">
        <v>4</v>
      </c>
      <c r="O273" s="9" t="s">
        <v>4</v>
      </c>
      <c r="P273" s="9" t="s">
        <v>4</v>
      </c>
      <c r="Q273" s="9" t="s">
        <v>4</v>
      </c>
      <c r="R273" s="9" t="s">
        <v>4</v>
      </c>
      <c r="S273" s="9" t="s">
        <v>4</v>
      </c>
      <c r="T273" s="9" t="s">
        <v>4</v>
      </c>
      <c r="U273" s="9" t="s">
        <v>4</v>
      </c>
      <c r="V273" s="9" t="s">
        <v>4</v>
      </c>
      <c r="W273" s="9" t="s">
        <v>4</v>
      </c>
      <c r="X273" s="9" t="s">
        <v>4</v>
      </c>
      <c r="Y273" s="9" t="s">
        <v>4</v>
      </c>
      <c r="Z273" s="25" t="s">
        <v>4</v>
      </c>
    </row>
    <row r="274" spans="1:26" x14ac:dyDescent="0.2">
      <c r="A274" s="47"/>
      <c r="B274" s="7" t="s">
        <v>263</v>
      </c>
      <c r="C274" s="9" t="s">
        <v>4</v>
      </c>
      <c r="D274" s="9" t="s">
        <v>4</v>
      </c>
      <c r="E274" s="9" t="s">
        <v>4</v>
      </c>
      <c r="F274" s="9" t="s">
        <v>4</v>
      </c>
      <c r="G274" s="9" t="s">
        <v>4</v>
      </c>
      <c r="H274" s="9" t="s">
        <v>4</v>
      </c>
      <c r="I274" s="9" t="s">
        <v>4</v>
      </c>
      <c r="J274" s="9" t="s">
        <v>4</v>
      </c>
      <c r="K274" s="9" t="s">
        <v>4</v>
      </c>
      <c r="L274" s="9" t="s">
        <v>4</v>
      </c>
      <c r="M274" s="9" t="s">
        <v>4</v>
      </c>
      <c r="N274" s="9" t="s">
        <v>4</v>
      </c>
      <c r="O274" s="9" t="s">
        <v>4</v>
      </c>
      <c r="P274" s="9" t="s">
        <v>4</v>
      </c>
      <c r="Q274" s="9" t="s">
        <v>4</v>
      </c>
      <c r="R274" s="9" t="s">
        <v>4</v>
      </c>
      <c r="S274" s="9" t="s">
        <v>4</v>
      </c>
      <c r="T274" s="9" t="s">
        <v>4</v>
      </c>
      <c r="U274" s="9" t="s">
        <v>4</v>
      </c>
      <c r="V274" s="9" t="s">
        <v>4</v>
      </c>
      <c r="W274" s="9" t="s">
        <v>4</v>
      </c>
      <c r="X274" s="9" t="s">
        <v>4</v>
      </c>
      <c r="Y274" s="9" t="s">
        <v>4</v>
      </c>
      <c r="Z274" s="25" t="s">
        <v>4</v>
      </c>
    </row>
    <row r="275" spans="1:26" x14ac:dyDescent="0.2">
      <c r="A275" s="47"/>
      <c r="B275" s="7" t="s">
        <v>264</v>
      </c>
      <c r="C275" s="9" t="s">
        <v>4</v>
      </c>
      <c r="D275" s="9" t="s">
        <v>4</v>
      </c>
      <c r="E275" s="9" t="s">
        <v>4</v>
      </c>
      <c r="F275" s="9" t="s">
        <v>4</v>
      </c>
      <c r="G275" s="9" t="s">
        <v>4</v>
      </c>
      <c r="H275" s="9" t="s">
        <v>4</v>
      </c>
      <c r="I275" s="9" t="s">
        <v>4</v>
      </c>
      <c r="J275" s="9" t="s">
        <v>4</v>
      </c>
      <c r="K275" s="9" t="s">
        <v>4</v>
      </c>
      <c r="L275" s="9" t="s">
        <v>4</v>
      </c>
      <c r="M275" s="9" t="s">
        <v>4</v>
      </c>
      <c r="N275" s="9" t="s">
        <v>4</v>
      </c>
      <c r="O275" s="9" t="s">
        <v>4</v>
      </c>
      <c r="P275" s="9" t="s">
        <v>4</v>
      </c>
      <c r="Q275" s="9" t="s">
        <v>4</v>
      </c>
      <c r="R275" s="9" t="s">
        <v>4</v>
      </c>
      <c r="S275" s="9" t="s">
        <v>4</v>
      </c>
      <c r="T275" s="9" t="s">
        <v>4</v>
      </c>
      <c r="U275" s="9" t="s">
        <v>4</v>
      </c>
      <c r="V275" s="9" t="s">
        <v>4</v>
      </c>
      <c r="W275" s="9" t="s">
        <v>4</v>
      </c>
      <c r="X275" s="9" t="s">
        <v>4</v>
      </c>
      <c r="Y275" s="9" t="s">
        <v>4</v>
      </c>
      <c r="Z275" s="25" t="s">
        <v>4</v>
      </c>
    </row>
    <row r="276" spans="1:26" ht="15.75" customHeight="1" thickBot="1" x14ac:dyDescent="0.25">
      <c r="A276" s="48"/>
      <c r="B276" s="43" t="s">
        <v>265</v>
      </c>
      <c r="C276" s="27" t="s">
        <v>4</v>
      </c>
      <c r="D276" s="27" t="s">
        <v>4</v>
      </c>
      <c r="E276" s="27" t="s">
        <v>4</v>
      </c>
      <c r="F276" s="27" t="s">
        <v>4</v>
      </c>
      <c r="G276" s="27" t="s">
        <v>4</v>
      </c>
      <c r="H276" s="27" t="s">
        <v>4</v>
      </c>
      <c r="I276" s="27" t="s">
        <v>4</v>
      </c>
      <c r="J276" s="27" t="s">
        <v>4</v>
      </c>
      <c r="K276" s="27" t="s">
        <v>4</v>
      </c>
      <c r="L276" s="27" t="s">
        <v>4</v>
      </c>
      <c r="M276" s="27" t="s">
        <v>4</v>
      </c>
      <c r="N276" s="27" t="s">
        <v>4</v>
      </c>
      <c r="O276" s="27" t="s">
        <v>4</v>
      </c>
      <c r="P276" s="27" t="s">
        <v>4</v>
      </c>
      <c r="Q276" s="27" t="s">
        <v>4</v>
      </c>
      <c r="R276" s="27" t="s">
        <v>4</v>
      </c>
      <c r="S276" s="27" t="s">
        <v>4</v>
      </c>
      <c r="T276" s="27" t="s">
        <v>4</v>
      </c>
      <c r="U276" s="27" t="s">
        <v>4</v>
      </c>
      <c r="V276" s="27" t="s">
        <v>4</v>
      </c>
      <c r="W276" s="27" t="s">
        <v>4</v>
      </c>
      <c r="X276" s="27" t="s">
        <v>4</v>
      </c>
      <c r="Y276" s="27" t="s">
        <v>4</v>
      </c>
      <c r="Z276" s="28" t="s">
        <v>4</v>
      </c>
    </row>
  </sheetData>
  <mergeCells count="22">
    <mergeCell ref="A2:Z2"/>
    <mergeCell ref="A65:A78"/>
    <mergeCell ref="A106:Z106"/>
    <mergeCell ref="A3:A16"/>
    <mergeCell ref="A231:Z231"/>
    <mergeCell ref="A107:A121"/>
    <mergeCell ref="A17:A27"/>
    <mergeCell ref="A122:A141"/>
    <mergeCell ref="A151:A172"/>
    <mergeCell ref="A174:Z174"/>
    <mergeCell ref="A49:A64"/>
    <mergeCell ref="A38:A46"/>
    <mergeCell ref="A79:A104"/>
    <mergeCell ref="A28:A37"/>
    <mergeCell ref="A143:Z143"/>
    <mergeCell ref="A48:Z48"/>
    <mergeCell ref="A260:A276"/>
    <mergeCell ref="A175:A192"/>
    <mergeCell ref="A217:A229"/>
    <mergeCell ref="A232:A259"/>
    <mergeCell ref="A144:A150"/>
    <mergeCell ref="A193:A216"/>
  </mergeCells>
  <conditionalFormatting sqref="C3:Z276">
    <cfRule type="expression" dxfId="15" priority="2">
      <formula>C3="Consolidado"</formula>
    </cfRule>
    <cfRule type="expression" dxfId="14" priority="3">
      <formula>C3="En proceso"</formula>
    </cfRule>
    <cfRule type="expression" dxfId="13" priority="4">
      <formula>C3="Proyección"</formula>
    </cfRule>
    <cfRule type="expression" dxfId="12" priority="5">
      <formula>C3="N/A"</formula>
    </cfRule>
  </conditionalFormatting>
  <pageMargins left="0.7" right="0.7" top="0.75" bottom="0.75" header="0.3" footer="0.3"/>
  <pageSetup fitToHeight="0" orientation="portrait"/>
  <extLst>
    <ext xmlns:x14="http://schemas.microsoft.com/office/spreadsheetml/2009/9/main" uri="{CCE6A557-97BC-4b89-ADB6-D9C93CAAB3DF}">
      <x14:dataValidations xmlns:xm="http://schemas.microsoft.com/office/excel/2006/main" count="1">
        <x14:dataValidation type="list" error="Selecciona un estado válido." prompt="N/A | Proyección | En proceso | Consolidado" xr:uid="{00000000-0002-0000-0000-000000000000}">
          <x14:formula1>
            <xm:f>CATALOGOS!$A$2:$A$5</xm:f>
          </x14:formula1>
          <xm:sqref>C3 C4 C5 C6 C7 C8 C9 C10 C11 C12 C13 C14 C15 C16 C17 C18 C19 C20 C21 C22 C23 C24 C25 C26 C27 C28 C29 C30 C31 C32 C33 C34 C35 C36 C37 C38 C39 C40 C41 C42 C43 C44 C45 C46 C49 C50 C51 C52 C53 C54 C55 C56 C57 C58 C59 C60 C61 C62 C63 C64 C65 C66 C67 C68 C69 C70 C71 C72 C73 C74 C75 C76 C77 C78 C79 C80 C81 C82 C83 C84 C85 C86 C87 C88 C89 C90 C91 C92 C93 C94 C95 C96 C97 C98 C99 C100 C101 C102 C103 C104 C107 C108 C109 C110 C111 C112 C113 C114 C115 C116 C117 C118 C119 C120 C121 C122 C123 C124 C125 C126 C127 C128 C129 C130 C131 C132 C133 C134 C135 C136 C137 C138 C139 C140 C141 C144 C145 C146 C147 C148 C149 C150 C151 C152 C153 C154 C155 C156 C157 C158 C159 C160 C161 C162 C163 C164 C165 C166 C167 C168 C169 C170 C171 C172 C175 C176 C177 C178 C179 C180 C181 C182 C183 C184 C185 C186 C187 C188 C189 C190 C191 C192 C193 C194 C195 C196 C197 C198 C199 C200 C201 C202 C203 C204 C205 C206 C207 C208 C209 C210 C211 C212 C213 C214 C215 C216 C217 C218 C219 C220 C221 C222 C223 C224 C225 C226 C227 C228 C229 C232 C233 C234 C235 C236 C237 C238 C239 C240 C241 C242 C243 C244 C245 C246 C247 C248 C249 C250 C251 C252 C253 C254 C255 C256 C257 C258 C259 C260 C261 C262 C263 C264 C265 C266 C267 C268 C269 C270 C271 C272 C273 C274 C275 C276 D3 D4 D5 D6 D7 D8 D9 D10 D11 D12 D13 D14 D15 D16 D17 D18 D19 D20 D21 D22 D23 D24 D25 D26 D27 D28 D29 D30 D31 D32 D33 D34 D35 D36 D37 D38 D39 D40 D41 D42 D43 D44 D45 D46 D49 D50 D51 D52 D53 D54 D55 D56 D57 D58 D59 D60 D61 D62 D63 D64 D65 D66 D67 D68 D69 D70 D71 D72 D73 D74 D75 D76 D77 D78 D79 D80 D81 D82 D83 D84 D85 D86 D87 D88 D89 D90 D91 D92 D93 D94 D95 D96 D97 D98 D99 D100 D101 D102 D103 D104 D107 D108 D109 D110 D111 D112 D113 D114 D115 D116 D117 D118 D119 D120 D121 D122 D123 D124 D125 D126 D127 D128 D129 D130 D131 D132 D133 D134 D135 D136 D137 D138 D139 D140 D141 D144 D145 D146 D147 D148 D149 D150 D151 D152 D153 D154 D155 D156 D157 D158 D159 D160 D161 D162 D163 D164 D165 D166 D167 D168 D169 D170 D171 D172 D175 D176 D177 D178 D179 D180 D181 D182 D183 D184 D185 D186 D187 D188 D189 D190 D191 D192 D193 D194 D195 D196 D197 D198 D199 D200 D201 D202 D203 D204 D205 D206 D207 D208 D209 D210 D211 D212 D213 D214 D215 D216 D217 D218 D219 D220 D221 D222 D223 D224 D225 D226 D227 D228 D229 D232 D233 D234 D235 D236 D237 D238 D239 D240 D241 D242 D243 D244 D245 D246 D247 D248 D249 D250 D251 D252 D253 D254 D255 D256 D257 D258 D259 D260 D261 D262 D263 D264 D265 D266 D267 D268 D269 D270 D271 D272 D273 D274 D275 D276 E3 E4 E5 E6 E7 E8 E9 E10 E11 E12 E13 E14 E15 E16 E17 E18 E19 E20 E21 E22 E23 E24 E25 E26 E27 E28 E29 E30 E31 E32 E33 E34 E35 E36 E37 E38 E39 E40 E41 E42 E43 E44 E45 E46 E49 E50 E51 E52 E53 E54 E55 E56 E57 E58 E59 E60 E61 E62 E63 E64 E65 E66 E67 E68 E69 E70 E71 E72 E73 E74 E75 E76 E77 E78 E79 E80 E81 E82 E83 E84 E85 E86 E87 E88 E89 E90 E91 E92 E93 E94 E95 E96 E97 E98 E99 E100 E101 E102 E103 E104 E107 E108 E109 E110 E111 E112 E113 E114 E115 E116 E117 E118 E119 E120 E121 E122 E123 E124 E125 E126 E127 E128 E129 E130 E131 E132 E133 E134 E135 E136 E137 E138 E139 E140 E141 E144 E145 E146 E147 E148 E149 E150 E151 E152 E153 E154 E155 E156 E157 E158 E159 E160 E161 E162 E163 E164 E165 E166 E167 E168 E169 E170 E171 E172 E175 E176 E177 E178 E179 E180 E181 E182 E183 E184 E185 E186 E187 E188 E189 E190 E191 E192 E193 E194 E195 E196 E197 E198 E199 E200 E201 E202 E203 E204 E205 E206 E207 E208 E209 E210 E211 E212 E213 E214 E215 E216 E217 E218 E219 E220 E221 E222 E223 E224 E225 E226 E227 E228 E229 E232 E233 E234 E235 E236 E237 E238 E239 E240 E241 E242 E243 E244 E245 E246 E247 E248 E249 E250 E251 E252 E253 E254 E255 E256 E257 E258 E259 E260 E261 E262 E263 E264 E265 E266 E267 E268 E269 E270 E271 E272 E273 E274 E275 E276 F3 F4 F5 F6 F7 F8 F9 F10 F11 F12 F13 F14 F15 F16 F17 F18 F19 F20 F21 F22 F23 F24 F25 F26 F27 F28 F29 F30 F31 F32 F33 F34 F35 F36 F37 F38 F39 F40 F41 F42 F43 F44 F45 F46 F49 F50 F51 F52 F53 F54 F55 F56 F57 F58 F59 F60 F61 F62 F63 F64 F65 F66 F67 F68 F69 F70 F71 F72 F73 F74 F75 F76 F77 F78 F79 F80 F81 F82 F83 F84 F85 F86 F87 F88 F89 F90 F91 F92 F93 F94 F95 F96 F97 F98 F99 F100 F101 F102 F103 F104 F107 F108 F109 F110 F111 F112 F113 F114 F115 F116 F117 F118 F119 F120 F121 F122 F123 F124 F125 F126 F127 F128 F129 F130 F131 F132 F133 F134 F135 F136 F137 F138 F139 F140 F141 F144 F145 F146 F147 F148 F149 F150 F151 F152 F153 F154 F155 F156 F157 F158 F159 F160 F161 F162 F163 F164 F165 F166 F167 F168 F169 F170 F171 F172 F175 F176 F177 F178 F179 F180 F181 F182 F183 F184 F185 F186 F187 F188 F189 F190 F191 F192 F193 F194 F195 F196 F197 F198 F199 F200 F201 F202 F203 F204 F205 F206 F207 F208 F209 F210 F211 F212 F213 F214 F215 F216 F217 F218 F219 F220 F221 F222 F223 F224 F225 F226 F227 F228 F229 F232 F233 F234 F235 F236 F237 F238 F239 F240 F241 F242 F243 F244 F245 F246 F247 F248 F249 F250 F251 F252 F253 F254 F255 F256 F257 F258 F259 F260 F261 F262 F263 F264 F265 F266 F267 F268 F269 F270 F271 F272 F273 F274 F275 F276 G3 G4 G5 G6 G7 G8 G9 G10 G11 G12 G13 G14 G15 G16 G17 G18 G19 G20 G21 G22 G23 G24 G25 G26 G27 G28 G29 G30 G31 G32 G33 G34 G35 G36 G37 G38 G39 G40 G41 G42 G43 G44 G45 G46 G49 G50 G51 G52 G53 G54 G55 G56 G57 G58 G59 G60 G61 G62 G63 G64 G65 G66 G67 G68 G69 G70 G71 G72 G73 G74 G75 G76 G77 G78 G79 G80 G81 G82 G83 G84 G85 G86 G87 G88 G89 G90 G91 G92 G93 G94 G95 G96 G97 G98 G99 G100 G101 G102 G103 G104 G107 G108 G109 G110 G111 G112 G113 G114 G115 G116 G117 G118 G119 G120 G121 G122 G123 G124 G125 G126 G127 G128 G129 G130 G131 G132 G133 G134 G135 G136 G137 G138 G139 G140 G141 G144 G145 G146 G147 G148 G149 G150 G151 G152 G153 G154 G155 G156 G157 G158 G159 G160 G161 G162 G163 G164 G165 G166 G167 G168 G169 G170 G171 G172 G175 G176 G177 G178 G179 G180 G181 G182 G183 G184 G185 G186 G187 G188 G189 G190 G191 G192 G193 G194 G195 G196 G197 G198 G199 G200 G201 G202 G203 G204 G205 G206 G207 G208 G209 G210 G211 G212 G213 G214 G215 G216 G217 G218 G219 G220 G221 G222 G223 G224 G225 G226 G227 G228 G229 G232 G233 G234 G235 G236 G237 G238 G239 G240 G241 G242 G243 G244 G245 G246 G247 G248 G249 G250 G251 G252 G253 G254 G255 G256 G257 G258 G259 G260 G261 G262 G263 G264 G265 G266 G267 G268 G269 G270 G271 G272 G273 G274 G275 G276 H3 H4 H5 H6 H7 H8 H9 H10 H11 H12 H13 H14 H15 H16 H17 H18 H19 H20 H21 H22 H23 H24 H25 H26 H27 H28 H29 H30 H31 H32 H33 H34 H35 H36 H37 H38 H39 H40 H41 H42 H43 H44 H45 H46 H49 H50 H51 H52 H53 H54 H55 H56 H57 H58 H59 H60 H61 H62 H63 H64 H65 H66 H67 H68 H69 H70 H71 H72 H73 H74 H75 H76 H77 H78 H79 H80 H81 H82 H83 H84 H85 H86 H87 H88 H89 H90 H91 H92 H93 H94 H95 H96 H97 H98 H99 H100 H101 H102 H103 H104 H107 H108 H109 H110 H111 H112 H113 H114 H115 H116 H117 H118 H119 H120 H121 H122 H123 H124 H125 H126 H127 H128 H129 H130 H131 H132 H133 H134 H135 H136 H137 H138 H139 H140 H141 H144 H145 H146 H147 H148 H149 H150 H151 H152 H153 H154 H155 H156 H157 H158 H159 H160 H161 H162 H163 H164 H165 H166 H167 H168 H169 H170 H171 H172 H175 H176 H177 H178 H179 H180 H181 H182 H183 H184 H185 H186 H187 H188 H189 H190 H191 H192 H193 H194 H195 H196 H197 H198 H199 H200 H201 H202 H203 H204 H205 H206 H207 H208 H209 H210 H211 H212 H213 H214 H215 H216 H217 H218 H219 H220 H221 H222 H223 H224 H225 H226 H227 H228 H229 H232 H233 H234 H235 H236 H237 H238 H239 H240 H241 H242 H243 H244 H245 H246 H247 H248 H249 H250 H251 H252 H253 H254 H255 H256 H257 H258 H259 H260 H261 H262 H263 H264 H265 H266 H267 H268 H269 H270 H271 H272 H273 H274 H275 H276 I3 I4 I5 I6 I7 I8 I9 I10 I11 I12 I13 I14 I15 I16 I17 I18 I19 I20 I21 I22 I23 I24 I25 I26 I27 I28 I29 I30 I31 I32 I33 I34 I35 I36 I37 I38 I39 I40 I41 I42 I43 I44 I45 I46 I49 I50 I51 I52 I53 I54 I55 I56 I57 I58 I59 I60 I61 I62 I63 I64 I65 I66 I67 I68 I69 I70 I71 I72 I73 I74 I75 I76 I77 I78 I79 I80 I81 I82 I83 I84 I85 I86 I87 I88 I89 I90 I91 I92 I93 I94 I95 I96 I97 I98 I99 I100 I101 I102 I103 I104 I107 I108 I109 I110 I111 I112 I113 I114 I115 I116 I117 I118 I119 I120 I121 I122 I123 I124 I125 I126 I127 I128 I129 I130 I131 I132 I133 I134 I135 I136 I137 I138 I139 I140 I141 I144 I145 I146 I147 I148 I149 I150 I151 I152 I153 I154 I155 I156 I157 I158 I159 I160 I161 I162 I163 I164 I165 I166 I167 I168 I169 I170 I171 I172 I175 I176 I177 I178 I179 I180 I181 I182 I183 I184 I185 I186 I187 I188 I189 I190 I191 I192 I193 I194 I195 I196 I197 I198 I199 I200 I201 I202 I203 I204 I205 I206 I207 I208 I209 I210 I211 I212 I213 I214 I215 I216 I217 I218 I219 I220 I221 I222 I223 I224 I225 I226 I227 I228 I229 I232 I233 I234 I235 I236 I237 I238 I239 I240 I241 I242 I243 I244 I245 I246 I247 I248 I249 I250 I251 I252 I253 I254 I255 I256 I257 I258 I259 I260 I261 I262 I263 I264 I265 I266 I267 I268 I269 I270 I271 I272 I273 I274 I275 I276 J3 J4 J5 J6 J7 J8 J9 J10 J11 J12 J13 J14 J15 J16 J17 J18 J19 J20 J21 J22 J23 J24 J25 J26 J27 J28 J29 J30 J31 J32 J33 J34 J35 J36 J37 J38 J39 J40 J41 J42 J43 J44 J45 J46 J49 J50 J51 J52 J53 J54 J55 J56 J57 J58 J59 J60 J61 J62 J63 J64 J65 J66 J67 J68 J69 J70 J71 J72 J73 J74 J75 J76 J77 J78 J79 J80 J81 J82 J83 J84 J85 J86 J87 J88 J89 J90 J91 J92 J93 J94 J95 J96 J97 J98 J99 J100 J101 J102 J103 J104 J107 J108 J109 J110 J111 J112 J113 J114 J115 J116 J117 J118 J119 J120 J121 J122 J123 J124 J125 J126 J127 J128 J129 J130 J131 J132 J133 J134 J135 J136 J137 J138 J139 J140 J141 J144 J145 J146 J147 J148 J149 J150 J151 J152 J153 J154 J155 J156 J157 J158 J159 J160 J161 J162 J163 J164 J165 J166 J167 J168 J169 J170 J171 J172 J175 J176 J177 J178 J179 J180 J181 J182 J183 J184 J185 J186 J187 J188 J189 J190 J191 J192 J193 J194 J195 J196 J197 J198 J199 J200 J201 J202 J203 J204 J205 J206 J207 J208 J209 J210 J211 J212 J213 J214 J215 J216 J217 J218 J219 J220 J221 J222 J223 J224 J225 J226 J227 J228 J229 J232 J233 J234 J235 J236 J237 J238 J239 J240 J241 J242 J243 J244 J245 J246 J247 J248 J249 J250 J251 J252 J253 J254 J255 J256 J257 J258 J259 J260 J261 J262 J263 J264 J265 J266 J267 J268 J269 J270 J271 J272 J273 J274 J275 J276 K3 K4 K5 K6 K7 K8 K9 K10 K11 K12 K13 K14 K15 K16 K17 K18 K19 K20 K21 K22 K23 K24 K25 K26 K27 K28 K29 K30 K31 K32 K33 K34 K35 K36 K37 K38 K39 K40 K41 K42 K43 K44 K45 K46 K49 K50 K51 K52 K53 K54 K55 K56 K57 K58 K59 K60 K61 K62 K63 K64 K65 K66 K67 K68 K69 K70 K71 K72 K73 K74 K75 K76 K77 K78 K79 K80 K81 K82 K83 K84 K85 K86 K87 K88 K89 K90 K91 K92 K93 K94 K95 K96 K97 K98 K99 K100 K101 K102 K103 K104 K107 K108 K109 K110 K111 K112 K113 K114 K115 K116 K117 K118 K119 K120 K121 K122 K123 K124 K125 K126 K127 K128 K129 K130 K131 K132 K133 K134 K135 K136 K137 K138 K139 K140 K141 K144 K145 K146 K147 K148 K149 K150 K151 K152 K153 K154 K155 K156 K157 K158 K159 K160 K161 K162 K163 K164 K165 K166 K167 K168 K169 K170 K171 K172 K175 K176 K177 K178 K179 K180 K181 K182 K183 K184 K185 K186 K187 K188 K189 K190 K191 K192 K193 K194 K195 K196 K197 K198 K199 K200 K201 K202 K203 K204 K205 K206 K207 K208 K209 K210 K211 K212 K213 K214 K215 K216 K217 K218 K219 K220 K221 K222 K223 K224 K225 K226 K227 K228 K229 K232 K233 K234 K235 K236 K237 K238 K239 K240 K241 K242 K243 K244 K245 K246 K247 K248 K249 K250 K251 K252 K253 K254 K255 K256 K257 K258 K259 K260 K261 K262 K263 K264 K265 K266 K267 K268 K269 K270 K271 K272 K273 K274 K275 K276 L3 L4 L5 L6 L7 L8 L9 L10 L11 L12 L13 L14 L15 L16 L17 L18 L19 L20 L21 L22 L23 L24 L25 L26 L27 L28 L29 L30 L31 L32 L33 L34 L35 L36 L37 L38 L39 L40 L41 L42 L43 L44 L45 L46 L49 L50 L51 L52 L53 L54 L55 L56 L57 L58 L59 L60 L61 L62 L63 L64 L65 L66 L67 L68 L69 L70 L71 L72 L73 L74 L75 L76 L77 L78 L79 L80 L81 L82 L83 L84 L85 L86 L87 L88 L89 L90 L91 L92 L93 L94 L95 L96 L97 L98 L99 L100 L101 L102 L103 L104 L107 L108 L109 L110 L111 L112 L113 L114 L115 L116 L117 L118 L119 L120 L121 L122 L123 L124 L125 L126 L127 L128 L129 L130 L131 L132 L133 L134 L135 L136 L137 L138 L139 L140 L141 L144 L145 L146 L147 L148 L149 L150 L151 L152 L153 L154 L155 L156 L157 L158 L159 L160 L161 L162 L163 L164 L165 L166 L167 L168 L169 L170 L171 L172 L175 L176 L177 L178 L179 L180 L181 L182 L183 L184 L185 L186 L187 L188 L189 L190 L191 L192 L193 L194 L195 L196 L197 L198 L199 L200 L201 L202 L203 L204 L205 L206 L207 L208 L209 L210 L211 L212 L213 L214 L215 L216 L217 L218 L219 L220 L221 L222 L223 L224 L225 L226 L227 L228 L229 L232 L233 L234 L235 L236 L237 L238 L239 L240 L241 L242 L243 L244 L245 L246 L247 L248 L249 L250 L251 L252 L253 L254 L255 L256 L257 L258 L259 L260 L261 L262 L263 L264 L265 L266 L267 L268 L269 L270 L271 L272 L273 L274 L275 L276 M3 M4 M5 M6 M7 M8 M9 M10 M11 M12 M13 M14 M15 M16 M17 M18 M19 M20 M21 M22 M23 M24 M25 M26 M27 M28 M29 M30 M31 M32 M33 M34 M35 M36 M37 M38 M39 M40 M41 M42 M43 M44 M45 M46 M49 M50 M51 M52 M53 M54 M55 M56 M57 M58 M59 M60 M61 M62 M63 M64 M65 M66 M67 M68 M69 M70 M71 M72 M73 M74 M75 M76 M77 M78 M79 M80 M81 M82 M83 M84 M85 M86 M87 M88 M89 M90 M91 M92 M93 M94 M95 M96 M97 M98 M99 M100 M101 M102 M103 M104 M107 M108 M109 M110 M111 M112 M113 M114 M115 M116 M117 M118 M119 M120 M121 M122 M123 M124 M125 M126 M127 M128 M129 M130 M131 M132 M133 M134 M135 M136 M137 M138 M139 M140 M141 M144 M145 M146 M147 M148 M149 M150 M151 M152 M153 M154 M155 M156 M157 M158 M159 M160 M161 M162 M163 M164 M165 M166 M167 M168 M169 M170 M171 M172 M175 M176 M177 M178 M179 M180 M181 M182 M183 M184 M185 M186 M187 M188 M189 M190 M191 M192 M193 M194 M195 M196 M197 M198 M199 M200 M201 M202 M203 M204 M205 M206 M207 M208 M209 M210 M211 M212 M213 M214 M215 M216 M217 M218 M219 M220 M221 M222 M223 M224 M225 M226 M227 M228 M229 M232 M233 M234 M235 M236 M237 M238 M239 M240 M241 M242 M243 M244 M245 M246 M247 M248 M249 M250 M251 M252 M253 M254 M255 M256 M257 M258 M259 M260 M261 M262 M263 M264 M265 M266 M267 M268 M269 M270 M271 M272 M273 M274 M275 M276 N3 N4 N5 N6 N7 N8 N9 N10 N11 N12 N13 N14 N15 N16 N17 N18 N19 N20 N21 N22 N23 N24 N25 N26 N27 N28 N29 N30 N31 N32 N33 N34 N35 N36 N37 N38 N39 N40 N41 N42 N43 N44 N45 N46 N49 N50 N51 N52 N53 N54 N55 N56 N57 N58 N59 N60 N61 N62 N63 N64 N65 N66 N67 N68 N69 N70 N71 N72 N73 N74 N75 N76 N77 N78 N79 N80 N81 N82 N83 N84 N85 N86 N87 N88 N89 N90 N91 N92 N93 N94 N95 N96 N97 N98 N99 N100 N101 N102 N103 N104 N107 N108 N109 N110 N111 N112 N113 N114 N115 N116 N117 N118 N119 N120 N121 N122 N123 N124 N125 N126 N127 N128 N129 N130 N131 N132 N133 N134 N135 N136 N137 N138 N139 N140 N141 N144 N145 N146 N147 N148 N149 N150 N151 N152 N153 N154 N155 N156 N157 N158 N159 N160 N161 N162 N163 N164 N165 N166 N167 N168 N169 N170 N171 N172 N175 N176 N177 N178 N179 N180 N181 N182 N183 N184 N185 N186 N187 N188 N189 N190 N191 N192 N193 N194 N195 N196 N197 N198 N199 N200 N201 N202 N203 N204 N205 N206 N207 N208 N209 N210 N211 N212 N213 N214 N215 N216 N217 N218 N219 N220 N221 N222 N223 N224 N225 N226 N227 N228 N229 N232 N233 N234 N235 N236 N237 N238 N239 N240 N241 N242 N243 N244 N245 N246 N247 N248 N249 N250 N251 N252 N253 N254 N255 N256 N257 N258 N259 N260 N261 N262 N263 N264 N265 N266 N267 N268 N269 N270 N271 N272 N273 N274 N275 N276 O3 O4 O5 O6 O7 O8 O9 O10 O11 O12 O13 O14 O15 O16 O17 O18 O19 O20 O21 O22 O23 O24 O25 O26 O27 O28 O29 O30 O31 O32 O33 O34 O35 O36 O37 O38 O39 O40 O41 O42 O43 O44 O45 O46 O49 O50 O51 O52 O53 O54 O55 O56 O57 O58 O59 O60 O61 O62 O63 O64 O65 O66 O67 O68 O69 O70 O71 O72 O73 O74 O75 O76 O77 O78 O79 O80 O81 O82 O83 O84 O85 O86 O87 O88 O89 O90 O91 O92 O93 O94 O95 O96 O97 O98 O99 O100 O101 O102 O103 O104 O107 O108 O109 O110 O111 O112 O113 O114 O115 O116 O117 O118 O119 O120 O121 O122 O123 O124 O125 O126 O127 O128 O129 O130 O131 O132 O133 O134 O135 O136 O137 O138 O139 O140 O141 O144 O145 O146 O147 O148 O149 O150 O151 O152 O153 O154 O155 O156 O157 O158 O159 O160 O161 O162 O163 O164 O165 O166 O167 O168 O169 O170 O171 O172 O175 O176 O177 O178 O179 O180 O181 O182 O183 O184 O185 O186 O187 O188 O189 O190 O191 O192 O193 O194 O195 O196 O197 O198 O199 O200 O201 O202 O203 O204 O205 O206 O207 O208 O209 O210 O211 O212 O213 O214 O215 O216 O217 O218 O219 O220 O221 O222 O223 O224 O225 O226 O227 O228 O229 O232 O233 O234 O235 O236 O237 O238 O239 O240 O241 O242 O243 O244 O245 O246 O247 O248 O249 O250 O251 O252 O253 O254 O255 O256 O257 O258 O259 O260 O261 O262 O263 O264 O265 O266 O267 O268 O269 O270 O271 O272 O273 O274 O275 O276 P3 P4 P5 P6 P7 P8 P9 P10 P11 P12 P13 P14 P15 P16 P17 P18 P19 P20 P21 P22 P23 P24 P25 P26 P27 P28 P29 P30 P31 P32 P33 P34 P35 P36 P37 P38 P39 P40 P41 P42 P43 P44 P45 P46 P49 P50 P51 P52 P53 P54 P55 P56 P57 P58 P59 P60 P61 P62 P63 P64 P65 P66 P67 P68 P69 P70 P71 P72 P73 P74 P75 P76 P77 P78 P79 P80 P81 P82 P83 P84 P85 P86 P87 P88 P89 P90 P91 P92 P93 P94 P95 P96 P97 P98 P99 P100 P101 P102 P103 P104 P107 P108 P109 P110 P111 P112 P113 P114 P115 P116 P117 P118 P119 P120 P121 P122 P123 P124 P125 P126 P127 P128 P129 P130 P131 P132 P133 P134 P135 P136 P137 P138 P139 P140 P141 P144 P145 P146 P147 P148 P149 P150 P151 P152 P153 P154 P155 P156 P157 P158 P159 P160 P161 P162 P163 P164 P165 P166 P167 P168 P169 P170 P171 P172 P175 P176 P177 P178 P179 P180 P181 P182 P183 P184 P185 P186 P187 P188 P189 P190 P191 P192 P193 P194 P195 P196 P197 P198 P199 P200 P201 P202 P203 P204 P205 P206 P207 P208 P209 P210 P211 P212 P213 P214 P215 P216 P217 P218 P219 P220 P221 P222 P223 P224 P225 P226 P227 P228 P229 P232 P233 P234 P235 P236 P237 P238 P239 P240 P241 P242 P243 P244 P245 P246 P247 P248 P249 P250 P251 P252 P253 P254 P255 P256 P257 P258 P259 P260 P261 P262 P263 P264 P265 P266 P267 P268 P269 P270 P271 P272 P273 P274 P275 P276 Q3 Q4 Q5 Q6 Q7 Q8 Q9 Q10 Q11 Q12 Q13 Q14 Q15 Q16 Q17 Q18 Q19 Q20 Q21 Q22 Q23 Q24 Q25 Q26 Q27 Q28 Q29 Q30 Q31 Q32 Q33 Q34 Q35 Q36 Q37 Q38 Q39 Q40 Q41 Q42 Q43 Q44 Q45 Q46 Q49 Q50 Q51 Q52 Q53 Q54 Q55 Q56 Q57 Q58 Q59 Q60 Q61 Q62 Q63 Q64 Q65 Q66 Q67 Q68 Q69 Q70 Q71 Q72 Q73 Q74 Q75 Q76 Q77 Q78 Q79 Q80 Q81 Q82 Q83 Q84 Q85 Q86 Q87 Q88 Q89 Q90 Q91 Q92 Q93 Q94 Q95 Q96 Q97 Q98 Q99 Q100 Q101 Q102 Q103 Q104 Q107 Q108 Q109 Q110 Q111 Q112 Q113 Q114 Q115 Q116 Q117 Q118 Q119 Q120 Q121 Q122 Q123 Q124 Q125 Q126 Q127 Q128 Q129 Q130 Q131 Q132 Q133 Q134 Q135 Q136 Q137 Q138 Q139 Q140 Q141 Q144 Q145 Q146 Q147 Q148 Q149 Q150 Q151 Q152 Q153 Q154 Q155 Q156 Q157 Q158 Q159 Q160 Q161 Q162 Q163 Q164 Q165 Q166 Q167 Q168 Q169 Q170 Q171 Q172 Q175 Q176 Q177 Q178 Q179 Q180 Q181 Q182 Q183 Q184 Q185 Q186 Q187 Q188 Q189 Q190 Q191 Q192 Q193 Q194 Q195 Q196 Q197 Q198 Q199 Q200 Q201 Q202 Q203 Q204 Q205 Q206 Q207 Q208 Q209 Q210 Q211 Q212 Q213 Q214 Q215 Q216 Q217 Q218 Q219 Q220 Q221 Q222 Q223 Q224 Q225 Q226 Q227 Q228 Q229 Q232 Q233 Q234 Q235 Q236 Q237 Q238 Q239 Q240 Q241 Q242 Q243 Q244 Q245 Q246 Q247 Q248 Q249 Q250 Q251 Q252 Q253 Q254 Q255 Q256 Q257 Q258 Q259 Q260 Q261 Q262 Q263 Q264 Q265 Q266 Q267 Q268 Q269 Q270 Q271 Q272 Q273 Q274 Q275 Q276 R3 R4 R5 R6 R7 R8 R9 R10 R11 R12 R13 R14 R15 R16 R17 R18 R19 R20 R21 R22 R23 R24 R25 R26 R27 R28 R29 R30 R31 R32 R33 R34 R35 R36 R37 R38 R39 R40 R41 R42 R43 R44 R45 R46 R49 R50 R51 R52 R53 R54 R55 R56 R57 R58 R59 R60 R61 R62 R63 R64 R65 R66 R67 R68 R69 R70 R71 R72 R73 R74 R75 R76 R77 R78 R79 R80 R81 R82 R83 R84 R85 R86 R87 R88 R89 R90 R91 R92 R93 R94 R95 R96 R97 R98 R99 R100 R101 R102 R103 R104 R107 R108 R109 R110 R111 R112 R113 R114 R115 R116 R117 R118 R119 R120 R121 R122 R123 R124 R125 R126 R127 R128 R129 R130 R131 R132 R133 R134 R135 R136 R137 R138 R139 R140 R141 R144 R145 R146 R147 R148 R149 R150 R151 R152 R153 R154 R155 R156 R157 R158 R159 R160 R161 R162 R163 R164 R165 R166 R167 R168 R169 R170 R171 R172 R175 R176 R177 R178 R179 R180 R181 R182 R183 R184 R185 R186 R187 R188 R189 R190 R191 R192 R193 R194 R195 R196 R197 R198 R199 R200 R201 R202 R203 R204 R205 R206 R207 R208 R209 R210 R211 R212 R213 R214 R215 R216 R217 R218 R219 R220 R221 R222 R223 R224 R225 R226 R227 R228 R229 R232 R233 R234 R235 R236 R237 R238 R239 R240 R241 R242 R243 R244 R245 R246 R247 R248 R249 R250 R251 R252 R253 R254 R255 R256 R257 R258 R259 R260 R261 R262 R263 R264 R265 R266 R267 R268 R269 R270 R271 R272 R273 R274 R275 R276 S3 S4 S5 S6 S7 S8 S9 S10 S11 S12 S13 S14 S15 S16 S17 S18 S19 S20 S21 S22 S23 S24 S25 S26 S27 S28 S29 S30 S31 S32 S33 S34 S35 S36 S37 S38 S39 S40 S41 S42 S43 S44 S45 S46 S49 S50 S51 S52 S53 S54 S55 S56 S57 S58 S59 S60 S61 S62 S63 S64 S65 S66 S67 S68 S69 S70 S71 S72 S73 S74 S75 S76 S77 S78 S79 S80 S81 S82 S83 S84 S85 S86 S87 S88 S89 S90 S91 S92 S93 S94 S95 S96 S97 S98 S99 S100 S101 S102 S103 S104 S107 S108 S109 S110 S111 S112 S113 S114 S115 S116 S117 S118 S119 S120 S121 S122 S123 S124 S125 S126 S127 S128 S129 S130 S131 S132 S133 S134 S135 S136 S137 S138 S139 S140 S141 S144 S145 S146 S147 S148 S149 S150 S151 S152 S153 S154 S155 S156 S157 S158 S159 S160 S161 S162 S163 S164 S165 S166 S167 S168 S169 S170 S171 S172 S175 S176 S177 S178 S179 S180 S181 S182 S183 S184 S185 S186 S187 S188 S189 S190 S191 S192 S193 S194 S195 S196 S197 S198 S199 S200 S201 S202 S203 S204 S205 S206 S207 S208 S209 S210 S211 S212 S213 S214 S215 S216 S217 S218 S219 S220 S221 S222 S223 S224 S225 S226 S227 S228 S229 S232 S233 S234 S235 S236 S237 S238 S239 S240 S241 S242 S243 S244 S245 S246 S247 S248 S249 S250 S251 S252 S253 S254 S255 S256 S257 S258 S259 S260 S261 S262 S263 S264 S265 S266 S267 S268 S269 S270 S271 S272 S273 S274 S275 S276 T3 T4 T5 T6 T7 T8 T9 T10 T11 T12 T13 T14 T15 T16 T17 T18 T19 T20 T21 T22 T23 T24 T25 T26 T27 T28 T29 T30 T31 T32 T33 T34 T35 T36 T37 T38 T39 T40 T41 T42 T43 T44 T45 T46 T49 T50 T51 T52 T53 T54 T55 T56 T57 T58 T59 T60 T61 T62 T63 T64 T65 T66 T67 T68 T69 T70 T71 T72 T73 T74 T75 T76 T77 T78 T79 T80 T81 T82 T83 T84 T85 T86 T87 T88 T89 T90 T91 T92 T93 T94 T95 T96 T97 T98 T99 T100 T101 T102 T103 T104 T107 T108 T109 T110 T111 T112 T113 T114 T115 T116 T117 T118 T119 T120 T121 T122 T123 T124 T125 T126 T127 T128 T129 T130 T131 T132 T133 T134 T135 T136 T137 T138 T139 T140 T141 T144 T145 T146 T147 T148 T149 T150 T151 T152 T153 T154 T155 T156 T157 T158 T159 T160 T161 T162 T163 T164 T165 T166 T167 T168 T169 T170 T171 T172 T175 T176 T177 T178 T179 T180 T181 T182 T183 T184 T185 T186 T187 T188 T189 T190 T191 T192 T193 T194 T195 T196 T197 T198 T199 T200 T201 T202 T203 T204 T205 T206 T207 T208 T209 T210 T211 T212 T213 T214 T215 T216 T217 T218 T219 T220 T221 T222 T223 T224 T225 T226 T227 T228 T229 T232 T233 T234 T235 T236 T237 T238 T239 T240 T241 T242 T243 T244 T245 T246 T247 T248 T249 T250 T251 T252 T253 T254 T255 T256 T257 T258 T259 T260 T261 T262 T263 T264 T265 T266 T267 T268 T269 T270 T271 T272 T273 T274 T275 T276 U3 U4 U5 U6 U7 U8 U9 U10 U11 U12 U13 U14 U15 U16 U17 U18 U19 U20 U21 U22 U23 U24 U25 U26 U27 U28 U29 U30 U31 U32 U33 U34 U35 U36 U37 U38 U39 U40 U41 U42 U43 U44 U45 U46 U49 U50 U51 U52 U53 U54 U55 U56 U57 U58 U59 U60 U61 U62 U63 U64 U65 U66 U67 U68 U69 U70 U71 U72 U73 U74 U75 U76 U77 U78 U79 U80 U81 U82 U83 U84 U85 U86 U87 U88 U89 U90 U91 U92 U93 U94 U95 U96 U97 U98 U99 U100 U101 U102 U103 U104 U107 U108 U109 U110 U111 U112 U113 U114 U115 U116 U117 U118 U119 U120 U121 U122 U123 U124 U125 U126 U127 U128 U129 U130 U131 U132 U133 U134 U135 U136 U137 U138 U139 U140 U141 U144 U145 U146 U147 U148 U149 U150 U151 U152 U153 U154 U155 U156 U157 U158 U159 U160 U161 U162 U163 U164 U165 U166 U167 U168 U169 U170 U171 U172 U175 U176 U177 U178 U179 U180 U181 U182 U183 U184 U185 U186 U187 U188 U189 U190 U191 U192 U193 U194 U195 U196 U197 U198 U199 U200 U201 U202 U203 U204 U205 U206 U207 U208 U209 U210 U211 U212 U213 U214 U215 U216 U217 U218 U219 U220 U221 U222 U223 U224 U225 U226 U227 U228 U229 U232 U233 U234 U235 U236 U237 U238 U239 U240 U241 U242 U243 U244 U245 U246 U247 U248 U249 U250 U251 U252 U253 U254 U255 U256 U257 U258 U259 U260 U261 U262 U263 U264 U265 U266 U267 U268 U269 U270 U271 U272 U273 U274 U275 U276 V3 V4 V5 V6 V7 V8 V9 V10 V11 V12 V13 V14 V15 V16 V17 V18 V19 V20 V21 V22 V23 V24 V25 V26 V27 V28 V29 V30 V31 V32 V33 V34 V35 V36 V37 V38 V39 V40 V41 V42 V43 V44 V45 V46 V49 V50 V51 V52 V53 V54 V55 V56 V57 V58 V59 V60 V61 V62 V63 V64 V65 V66 V67 V68 V69 V70 V71 V72 V73 V74 V75 V76 V77 V78 V79 V80 V81 V82 V83 V84 V85 V86 V87 V88 V89 V90 V91 V92 V93 V94 V95 V96 V97 V98 V99 V100 V101 V102 V103 V104 V107 V108 V109 V110 V111 V112 V113 V114 V115 V116 V117 V118 V119 V120 V121 V122 V123 V124 V125 V126 V127 V128 V129 V130 V131 V132 V133 V134 V135 V136 V137 V138 V139 V140 V141 V144 V145 V146 V147 V148 V149 V150 V151 V152 V153 V154 V155 V156 V157 V158 V159 V160 V161 V162 V163 V164 V165 V166 V167 V168 V169 V170 V171 V172 V175 V176 V177 V178 V179 V180 V181 V182 V183 V184 V185 V186 V187 V188 V189 V190 V191 V192 V193 V194 V195 V196 V197 V198 V199 V200 V201 V202 V203 V204 V205 V206 V207 V208 V209 V210 V211 V212 V213 V214 V215 V216 V217 V218 V219 V220 V221 V222 V223 V224 V225 V226 V227 V228 V229 V232 V233 V234 V235 V236 V237 V238 V239 V240 V241 V242 V243 V244 V245 V246 V247 V248 V249 V250 V251 V252 V253 V254 V255 V256 V257 V258 V259 V260 V261 V262 V263 V264 V265 V266 V267 V268 V269 V270 V271 V272 V273 V274 V275 V276 W3 W4 W5 W6 W7 W8 W9 W10 W11 W12 W13 W14 W15 W16 W17 W18 W19 W20 W21 W22 W23 W24 W25 W26 W27 W28 W29 W30 W31 W32 W33 W34 W35 W36 W37 W38 W39 W40 W41 W42 W43 W44 W45 W46 W49 W50 W51 W52 W53 W54 W55 W56 W57 W58 W59 W60 W61 W62 W63 W64 W65 W66 W67 W68 W69 W70 W71 W72 W73 W74 W75 W76 W77 W78 W79 W80 W81 W82 W83 W84 W85 W86 W87 W88 W89 W90 W91 W92 W93 W94 W95 W96 W97 W98 W99 W100 W101 W102 W103 W104 W107 W108 W109 W110 W111 W112 W113 W114 W115 W116 W117 W118 W119 W120 W121 W122 W123 W124 W125 W126 W127 W128 W129 W130 W131 W132 W133 W134 W135 W136 W137 W138 W139 W140 W141 W144 W145 W146 W147 W148 W149 W150 W151 W152 W153 W154 W155 W156 W157 W158 W159 W160 W161 W162 W163 W164 W165 W166 W167 W168 W169 W170 W171 W172 W175 W176 W177 W178 W179 W180 W181 W182 W183 W184 W185 W186 W187 W188 W189 W190 W191 W192 W193 W194 W195 W196 W197 W198 W199 W200 W201 W202 W203 W204 W205 W206 W207 W208 W209 W210 W211 W212 W213 W214 W215 W216 W217 W218 W219 W220 W221 W222 W223 W224 W225 W226 W227 W228 W229 W232 W233 W234 W235 W236 W237 W238 W239 W240 W241 W242 W243 W244 W245 W246 W247 W248 W249 W250 W251 W252 W253 W254 W255 W256 W257 W258 W259 W260 W261 W262 W263 W264 W265 W266 W267 W268 W269 W270 W271 W272 W273 W274 W275 W276 X3 X4 X5 X6 X7 X8 X9 X10 X11 X12 X13 X14 X15 X16 X17 X18 X19 X20 X21 X22 X23 X24 X25 X26 X27 X28 X29 X30 X31 X32 X33 X34 X35 X36 X37 X38 X39 X40 X41 X42 X43 X44 X45 X46 X49 X50 X51 X52 X53 X54 X55 X56 X57 X58 X59 X60 X61 X62 X63 X64 X65 X66 X67 X68 X69 X70 X71 X72 X73 X74 X75 X76 X77 X78 X79 X80 X81 X82 X83 X84 X85 X86 X87 X88 X89 X90 X91 X92 X93 X94 X95 X96 X97 X98 X99 X100 X101 X102 X103 X104 X107 X108 X109 X110 X111 X112 X113 X114 X115 X116 X117 X118 X119 X120 X121 X122 X123 X124 X125 X126 X127 X128 X129 X130 X131 X132 X133 X134 X135 X136 X137 X138 X139 X140 X141 X144 X145 X146 X147 X148 X149 X150 X151 X152 X153 X154 X155 X156 X157 X158 X159 X160 X161 X162 X163 X164 X165 X166 X167 X168 X169 X170 X171 X172 X175 X176 X177 X178 X179 X180 X181 X182 X183 X184 X185 X186 X187 X188 X189 X190 X191 X192 X193 X194 X195 X196 X197 X198 X199 X200 X201 X202 X203 X204 X205 X206 X207 X208 X209 X210 X211 X212 X213 X214 X215 X216 X217 X218 X219 X220 X221 X222 X223 X224 X225 X226 X227 X228 X229 X232 X233 X234 X235 X236 X237 X238 X239 X240 X241 X242 X243 X244 X245 X246 X247 X248 X249 X250 X251 X252 X253 X254 X255 X256 X257 X258 X259 X260 X261 X262 X263 X264 X265 X266 X267 X268 X269 X270 X271 X272 X273 X274 X275 X276 Y3 Y4 Y5 Y6 Y7 Y8 Y9 Y10 Y11 Y12 Y13 Y14 Y15 Y16 Y17 Y18 Y19 Y20 Y21 Y22 Y23 Y24 Y25 Y26 Y27 Y28 Y29 Y30 Y31 Y32 Y33 Y34 Y35 Y36 Y37 Y38 Y39 Y40 Y41 Y42 Y43 Y44 Y45 Y46 Y49 Y50 Y51 Y52 Y53 Y54 Y55 Y56 Y57 Y58 Y59 Y60 Y61 Y62 Y63 Y64 Y65 Y66 Y67 Y68 Y69 Y70 Y71 Y72 Y73 Y74 Y75 Y76 Y77 Y78 Y79 Y80 Y81 Y82 Y83 Y84 Y85 Y86 Y87 Y88 Y89 Y90 Y91 Y92 Y93 Y94 Y95 Y96 Y97 Y98 Y99 Y100 Y101 Y102 Y103 Y104 Y107 Y108 Y109 Y110 Y111 Y112 Y113 Y114 Y115 Y116 Y117 Y118 Y119 Y120 Y121 Y122 Y123 Y124 Y125 Y126 Y127 Y128 Y129 Y130 Y131 Y132 Y133 Y134 Y135 Y136 Y137 Y138 Y139 Y140 Y141 Y144 Y145 Y146 Y147 Y148 Y149 Y150 Y151 Y152 Y153 Y154 Y155 Y156 Y157 Y158 Y159 Y160 Y161 Y162 Y163 Y164 Y165 Y166 Y167 Y168 Y169 Y170 Y171 Y172 Y175 Y176 Y177 Y178 Y179 Y180 Y181 Y182 Y183 Y184 Y185 Y186 Y187 Y188 Y189 Y190 Y191 Y192 Y193 Y194 Y195 Y196 Y197 Y198 Y199 Y200 Y201 Y202 Y203 Y204 Y205 Y206 Y207 Y208 Y209 Y210 Y211 Y212 Y213 Y214 Y215 Y216 Y217 Y218 Y219 Y220 Y221 Y222 Y223 Y224 Y225 Y226 Y227 Y228 Y229 Y232 Y233 Y234 Y235 Y236 Y237 Y238 Y239 Y240 Y241 Y242 Y243 Y244 Y245 Y246 Y247 Y248 Y249 Y250 Y251 Y252 Y253 Y254 Y255 Y256 Y257 Y258 Y259 Y260 Y261 Y262 Y263 Y264 Y265 Y266 Y267 Y268 Y269 Y270 Y271 Y272 Y273 Y274 Y275 Y276 Z3 Z4 Z5 Z6 Z7 Z8 Z9 Z10 Z11 Z12 Z13 Z14 Z15 Z16 Z17 Z18 Z19 Z20 Z21 Z22 Z23 Z24 Z25 Z26 Z27 Z28 Z29 Z30 Z31 Z32 Z33 Z34 Z35 Z36 Z37 Z38 Z39 Z40 Z41 Z42 Z43 Z44 Z45 Z46 Z49 Z50 Z51 Z52 Z53 Z54 Z55 Z56 Z57 Z58 Z59 Z60 Z61 Z62 Z63 Z64 Z65 Z66 Z67 Z68 Z69 Z70 Z71 Z72 Z73 Z74 Z75 Z76 Z77 Z78 Z79 Z80 Z81 Z82 Z83 Z84 Z85 Z86 Z87 Z88 Z89 Z90 Z91 Z92 Z93 Z94 Z95 Z96 Z97 Z98 Z99 Z100 Z101 Z102 Z103 Z104 Z107 Z108 Z109 Z110 Z111 Z112 Z113 Z114 Z115 Z116 Z117 Z118 Z119 Z120 Z121 Z122 Z123 Z124 Z125 Z126 Z127 Z128 Z129 Z130 Z131 Z132 Z133 Z134 Z135 Z136 Z137 Z138 Z139 Z140 Z141 Z144 Z145 Z146 Z147 Z148 Z149 Z150 Z151 Z152 Z153 Z154 Z155 Z156 Z157 Z158 Z159 Z160 Z161 Z162 Z163 Z164 Z165 Z166 Z167 Z168 Z169 Z170 Z171 Z172 Z175 Z176 Z177 Z178 Z179 Z180 Z181 Z182 Z183 Z184 Z185 Z186 Z187 Z188 Z189 Z190 Z191 Z192 Z193 Z194 Z195 Z196 Z197 Z198 Z199 Z200 Z201 Z202 Z203 Z204 Z205 Z206 Z207 Z208 Z209 Z210 Z211 Z212 Z213 Z214 Z215 Z216 Z217 Z218 Z219 Z220 Z221 Z222 Z223 Z224 Z225 Z226 Z227 Z228 Z229 Z232 Z233 Z234 Z235 Z236 Z237 Z238 Z239 Z240 Z241 Z242 Z243 Z244 Z245 Z246 Z247 Z248 Z249 Z250 Z251 Z252 Z253 Z254 Z255 Z256 Z257 Z258 Z259 Z260 Z261 Z262 Z263 Z264 Z265 Z266 Z267 Z268 Z269 Z270 Z271 Z272 Z273 Z274 Z275 Z276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90"/>
  <sheetViews>
    <sheetView showGridLines="0" zoomScale="90" workbookViewId="0">
      <pane ySplit="26" topLeftCell="A194" activePane="bottomLeft" state="frozen"/>
      <selection pane="bottomLeft" activeCell="C204" sqref="C204"/>
    </sheetView>
  </sheetViews>
  <sheetFormatPr baseColWidth="10" defaultColWidth="8.83203125" defaultRowHeight="15" x14ac:dyDescent="0.2"/>
  <cols>
    <col min="1" max="1" width="28" customWidth="1"/>
    <col min="2" max="2" width="54" customWidth="1"/>
    <col min="3" max="3" width="18" customWidth="1"/>
    <col min="4" max="4" width="28" customWidth="1"/>
    <col min="5" max="7" width="14" customWidth="1"/>
    <col min="8" max="8" width="13" customWidth="1"/>
  </cols>
  <sheetData>
    <row r="1" spans="1:8" ht="22" x14ac:dyDescent="0.3">
      <c r="A1" s="62" t="s">
        <v>285</v>
      </c>
      <c r="B1" s="59"/>
      <c r="C1" s="59"/>
      <c r="D1" s="59"/>
      <c r="E1" s="59"/>
      <c r="F1" s="59"/>
      <c r="G1" s="59"/>
      <c r="H1" s="59"/>
    </row>
    <row r="3" spans="1:8" x14ac:dyDescent="0.2">
      <c r="A3" s="14" t="s">
        <v>286</v>
      </c>
      <c r="B3" t="s">
        <v>326</v>
      </c>
    </row>
    <row r="5" spans="1:8" x14ac:dyDescent="0.2">
      <c r="A5" s="11" t="s">
        <v>287</v>
      </c>
      <c r="D5" s="11" t="s">
        <v>288</v>
      </c>
      <c r="E5" s="11" t="s">
        <v>3</v>
      </c>
      <c r="F5" s="11" t="s">
        <v>273</v>
      </c>
      <c r="G5" s="11" t="s">
        <v>4</v>
      </c>
      <c r="H5" s="11" t="s">
        <v>283</v>
      </c>
    </row>
    <row r="6" spans="1:8" x14ac:dyDescent="0.2">
      <c r="A6" s="14" t="s">
        <v>281</v>
      </c>
      <c r="B6">
        <f>INDEX(CONSOLIDADO!$B$4:$B$5,MATCH($B$3,CONSOLIDADO!$A$4:$A$5,0))</f>
        <v>264</v>
      </c>
      <c r="D6" t="s">
        <v>1</v>
      </c>
      <c r="E6">
        <f>--(INDEX(NORMATIVOS!$C$3:$Z$3,1,MATCH($B$3,NORMATIVOS!$C$1:$Z$1,0))="Consolidado")+--(INDEX(NORMATIVOS!$C$4:$Z$4,1,MATCH($B$3,NORMATIVOS!$C$1:$Z$1,0))="Consolidado")+--(INDEX(NORMATIVOS!$C$5:$Z$5,1,MATCH($B$3,NORMATIVOS!$C$1:$Z$1,0))="Consolidado")+--(INDEX(NORMATIVOS!$C$6:$Z$6,1,MATCH($B$3,NORMATIVOS!$C$1:$Z$1,0))="Consolidado")+--(INDEX(NORMATIVOS!$C$7:$Z$7,1,MATCH($B$3,NORMATIVOS!$C$1:$Z$1,0))="Consolidado")+--(INDEX(NORMATIVOS!$C$8:$Z$8,1,MATCH($B$3,NORMATIVOS!$C$1:$Z$1,0))="Consolidado")+--(INDEX(NORMATIVOS!$C$9:$Z$9,1,MATCH($B$3,NORMATIVOS!$C$1:$Z$1,0))="Consolidado")+--(INDEX(NORMATIVOS!$C$10:$Z$10,1,MATCH($B$3,NORMATIVOS!$C$1:$Z$1,0))="Consolidado")+--(INDEX(NORMATIVOS!$C$11:$Z$11,1,MATCH($B$3,NORMATIVOS!$C$1:$Z$1,0))="Consolidado")+--(INDEX(NORMATIVOS!$C$12:$Z$12,1,MATCH($B$3,NORMATIVOS!$C$1:$Z$1,0))="Consolidado")+--(INDEX(NORMATIVOS!$C$13:$Z$13,1,MATCH($B$3,NORMATIVOS!$C$1:$Z$1,0))="Consolidado")+--(INDEX(NORMATIVOS!$C$14:$Z$14,1,MATCH($B$3,NORMATIVOS!$C$1:$Z$1,0))="Consolidado")+--(INDEX(NORMATIVOS!$C$15:$Z$15,1,MATCH($B$3,NORMATIVOS!$C$1:$Z$1,0))="Consolidado")+--(INDEX(NORMATIVOS!$C$16:$Z$16,1,MATCH($B$3,NORMATIVOS!$C$1:$Z$1,0))="Consolidado")</f>
        <v>9</v>
      </c>
      <c r="F6">
        <f>--(INDEX(NORMATIVOS!$C$3:$Z$3,1,MATCH($B$3,NORMATIVOS!$C$1:$Z$1,0))="En proceso")+--(INDEX(NORMATIVOS!$C$4:$Z$4,1,MATCH($B$3,NORMATIVOS!$C$1:$Z$1,0))="En proceso")+--(INDEX(NORMATIVOS!$C$5:$Z$5,1,MATCH($B$3,NORMATIVOS!$C$1:$Z$1,0))="En proceso")+--(INDEX(NORMATIVOS!$C$6:$Z$6,1,MATCH($B$3,NORMATIVOS!$C$1:$Z$1,0))="En proceso")+--(INDEX(NORMATIVOS!$C$7:$Z$7,1,MATCH($B$3,NORMATIVOS!$C$1:$Z$1,0))="En proceso")+--(INDEX(NORMATIVOS!$C$8:$Z$8,1,MATCH($B$3,NORMATIVOS!$C$1:$Z$1,0))="En proceso")+--(INDEX(NORMATIVOS!$C$9:$Z$9,1,MATCH($B$3,NORMATIVOS!$C$1:$Z$1,0))="En proceso")+--(INDEX(NORMATIVOS!$C$10:$Z$10,1,MATCH($B$3,NORMATIVOS!$C$1:$Z$1,0))="En proceso")+--(INDEX(NORMATIVOS!$C$11:$Z$11,1,MATCH($B$3,NORMATIVOS!$C$1:$Z$1,0))="En proceso")+--(INDEX(NORMATIVOS!$C$12:$Z$12,1,MATCH($B$3,NORMATIVOS!$C$1:$Z$1,0))="En proceso")+--(INDEX(NORMATIVOS!$C$13:$Z$13,1,MATCH($B$3,NORMATIVOS!$C$1:$Z$1,0))="En proceso")+--(INDEX(NORMATIVOS!$C$14:$Z$14,1,MATCH($B$3,NORMATIVOS!$C$1:$Z$1,0))="En proceso")+--(INDEX(NORMATIVOS!$C$15:$Z$15,1,MATCH($B$3,NORMATIVOS!$C$1:$Z$1,0))="En proceso")+--(INDEX(NORMATIVOS!$C$16:$Z$16,1,MATCH($B$3,NORMATIVOS!$C$1:$Z$1,0))="En proceso")</f>
        <v>5</v>
      </c>
      <c r="G6">
        <f>--(INDEX(NORMATIVOS!$C$3:$Z$3,1,MATCH($B$3,NORMATIVOS!$C$1:$Z$1,0))="Proyección")+--(INDEX(NORMATIVOS!$C$4:$Z$4,1,MATCH($B$3,NORMATIVOS!$C$1:$Z$1,0))="Proyección")+--(INDEX(NORMATIVOS!$C$5:$Z$5,1,MATCH($B$3,NORMATIVOS!$C$1:$Z$1,0))="Proyección")+--(INDEX(NORMATIVOS!$C$6:$Z$6,1,MATCH($B$3,NORMATIVOS!$C$1:$Z$1,0))="Proyección")+--(INDEX(NORMATIVOS!$C$7:$Z$7,1,MATCH($B$3,NORMATIVOS!$C$1:$Z$1,0))="Proyección")+--(INDEX(NORMATIVOS!$C$8:$Z$8,1,MATCH($B$3,NORMATIVOS!$C$1:$Z$1,0))="Proyección")+--(INDEX(NORMATIVOS!$C$9:$Z$9,1,MATCH($B$3,NORMATIVOS!$C$1:$Z$1,0))="Proyección")+--(INDEX(NORMATIVOS!$C$10:$Z$10,1,MATCH($B$3,NORMATIVOS!$C$1:$Z$1,0))="Proyección")+--(INDEX(NORMATIVOS!$C$11:$Z$11,1,MATCH($B$3,NORMATIVOS!$C$1:$Z$1,0))="Proyección")+--(INDEX(NORMATIVOS!$C$12:$Z$12,1,MATCH($B$3,NORMATIVOS!$C$1:$Z$1,0))="Proyección")+--(INDEX(NORMATIVOS!$C$13:$Z$13,1,MATCH($B$3,NORMATIVOS!$C$1:$Z$1,0))="Proyección")+--(INDEX(NORMATIVOS!$C$14:$Z$14,1,MATCH($B$3,NORMATIVOS!$C$1:$Z$1,0))="Proyección")+--(INDEX(NORMATIVOS!$C$15:$Z$15,1,MATCH($B$3,NORMATIVOS!$C$1:$Z$1,0))="Proyección")+--(INDEX(NORMATIVOS!$C$16:$Z$16,1,MATCH($B$3,NORMATIVOS!$C$1:$Z$1,0))="Proyección")</f>
        <v>0</v>
      </c>
      <c r="H6" s="15">
        <f t="shared" ref="H6:H21" si="0">IFERROR(E6/(E6+F6+G6),0)</f>
        <v>0.6428571428571429</v>
      </c>
    </row>
    <row r="7" spans="1:8" x14ac:dyDescent="0.2">
      <c r="A7" s="14" t="s">
        <v>282</v>
      </c>
      <c r="B7">
        <f>INDEX(CONSOLIDADO!$C$4:$C$5,MATCH($B$3,CONSOLIDADO!$A$4:$A$5,0))</f>
        <v>113</v>
      </c>
      <c r="D7" t="s">
        <v>271</v>
      </c>
      <c r="E7">
        <f>--(INDEX(NORMATIVOS!$C$17:$Z$17,1,MATCH($B$3,NORMATIVOS!$C$1:$Z$1,0))="Consolidado")+--(INDEX(NORMATIVOS!$C$18:$Z$18,1,MATCH($B$3,NORMATIVOS!$C$1:$Z$1,0))="Consolidado")+--(INDEX(NORMATIVOS!$C$19:$Z$19,1,MATCH($B$3,NORMATIVOS!$C$1:$Z$1,0))="Consolidado")+--(INDEX(NORMATIVOS!$C$20:$Z$20,1,MATCH($B$3,NORMATIVOS!$C$1:$Z$1,0))="Consolidado")+--(INDEX(NORMATIVOS!$C$21:$Z$21,1,MATCH($B$3,NORMATIVOS!$C$1:$Z$1,0))="Consolidado")+--(INDEX(NORMATIVOS!$C$22:$Z$22,1,MATCH($B$3,NORMATIVOS!$C$1:$Z$1,0))="Consolidado")+--(INDEX(NORMATIVOS!$C$23:$Z$23,1,MATCH($B$3,NORMATIVOS!$C$1:$Z$1,0))="Consolidado")+--(INDEX(NORMATIVOS!$C$24:$Z$24,1,MATCH($B$3,NORMATIVOS!$C$1:$Z$1,0))="Consolidado")+--(INDEX(NORMATIVOS!$C$25:$Z$25,1,MATCH($B$3,NORMATIVOS!$C$1:$Z$1,0))="Consolidado")+--(INDEX(NORMATIVOS!$C$26:$Z$26,1,MATCH($B$3,NORMATIVOS!$C$1:$Z$1,0))="Consolidado")+--(INDEX(NORMATIVOS!$C$27:$Z$27,1,MATCH($B$3,NORMATIVOS!$C$1:$Z$1,0))="Consolidado")</f>
        <v>8</v>
      </c>
      <c r="F7">
        <f>--(INDEX(NORMATIVOS!$C$17:$Z$17,1,MATCH($B$3,NORMATIVOS!$C$1:$Z$1,0))="En proceso")+--(INDEX(NORMATIVOS!$C$18:$Z$18,1,MATCH($B$3,NORMATIVOS!$C$1:$Z$1,0))="En proceso")+--(INDEX(NORMATIVOS!$C$19:$Z$19,1,MATCH($B$3,NORMATIVOS!$C$1:$Z$1,0))="En proceso")+--(INDEX(NORMATIVOS!$C$20:$Z$20,1,MATCH($B$3,NORMATIVOS!$C$1:$Z$1,0))="En proceso")+--(INDEX(NORMATIVOS!$C$21:$Z$21,1,MATCH($B$3,NORMATIVOS!$C$1:$Z$1,0))="En proceso")+--(INDEX(NORMATIVOS!$C$22:$Z$22,1,MATCH($B$3,NORMATIVOS!$C$1:$Z$1,0))="En proceso")+--(INDEX(NORMATIVOS!$C$23:$Z$23,1,MATCH($B$3,NORMATIVOS!$C$1:$Z$1,0))="En proceso")+--(INDEX(NORMATIVOS!$C$24:$Z$24,1,MATCH($B$3,NORMATIVOS!$C$1:$Z$1,0))="En proceso")+--(INDEX(NORMATIVOS!$C$25:$Z$25,1,MATCH($B$3,NORMATIVOS!$C$1:$Z$1,0))="En proceso")+--(INDEX(NORMATIVOS!$C$26:$Z$26,1,MATCH($B$3,NORMATIVOS!$C$1:$Z$1,0))="En proceso")+--(INDEX(NORMATIVOS!$C$27:$Z$27,1,MATCH($B$3,NORMATIVOS!$C$1:$Z$1,0))="En proceso")</f>
        <v>2</v>
      </c>
      <c r="G7">
        <f>--(INDEX(NORMATIVOS!$C$17:$Z$17,1,MATCH($B$3,NORMATIVOS!$C$1:$Z$1,0))="Proyección")+--(INDEX(NORMATIVOS!$C$18:$Z$18,1,MATCH($B$3,NORMATIVOS!$C$1:$Z$1,0))="Proyección")+--(INDEX(NORMATIVOS!$C$19:$Z$19,1,MATCH($B$3,NORMATIVOS!$C$1:$Z$1,0))="Proyección")+--(INDEX(NORMATIVOS!$C$20:$Z$20,1,MATCH($B$3,NORMATIVOS!$C$1:$Z$1,0))="Proyección")+--(INDEX(NORMATIVOS!$C$21:$Z$21,1,MATCH($B$3,NORMATIVOS!$C$1:$Z$1,0))="Proyección")+--(INDEX(NORMATIVOS!$C$22:$Z$22,1,MATCH($B$3,NORMATIVOS!$C$1:$Z$1,0))="Proyección")+--(INDEX(NORMATIVOS!$C$23:$Z$23,1,MATCH($B$3,NORMATIVOS!$C$1:$Z$1,0))="Proyección")+--(INDEX(NORMATIVOS!$C$24:$Z$24,1,MATCH($B$3,NORMATIVOS!$C$1:$Z$1,0))="Proyección")+--(INDEX(NORMATIVOS!$C$25:$Z$25,1,MATCH($B$3,NORMATIVOS!$C$1:$Z$1,0))="Proyección")+--(INDEX(NORMATIVOS!$C$26:$Z$26,1,MATCH($B$3,NORMATIVOS!$C$1:$Z$1,0))="Proyección")+--(INDEX(NORMATIVOS!$C$27:$Z$27,1,MATCH($B$3,NORMATIVOS!$C$1:$Z$1,0))="Proyección")</f>
        <v>1</v>
      </c>
      <c r="H7" s="15">
        <f t="shared" si="0"/>
        <v>0.72727272727272729</v>
      </c>
    </row>
    <row r="8" spans="1:8" x14ac:dyDescent="0.2">
      <c r="A8" s="14" t="s">
        <v>273</v>
      </c>
      <c r="B8">
        <f>INDEX(CONSOLIDADO!$D$4:$D$5,MATCH($B$3,CONSOLIDADO!$A$4:$A$5,0))</f>
        <v>49</v>
      </c>
      <c r="D8" t="s">
        <v>274</v>
      </c>
      <c r="E8">
        <f>--(INDEX(NORMATIVOS!$C$28:$Z$28,1,MATCH($B$3,NORMATIVOS!$C$1:$Z$1,0))="Consolidado")+--(INDEX(NORMATIVOS!$C$29:$Z$29,1,MATCH($B$3,NORMATIVOS!$C$1:$Z$1,0))="Consolidado")+--(INDEX(NORMATIVOS!$C$30:$Z$30,1,MATCH($B$3,NORMATIVOS!$C$1:$Z$1,0))="Consolidado")+--(INDEX(NORMATIVOS!$C$31:$Z$31,1,MATCH($B$3,NORMATIVOS!$C$1:$Z$1,0))="Consolidado")+--(INDEX(NORMATIVOS!$C$32:$Z$32,1,MATCH($B$3,NORMATIVOS!$C$1:$Z$1,0))="Consolidado")+--(INDEX(NORMATIVOS!$C$33:$Z$33,1,MATCH($B$3,NORMATIVOS!$C$1:$Z$1,0))="Consolidado")+--(INDEX(NORMATIVOS!$C$34:$Z$34,1,MATCH($B$3,NORMATIVOS!$C$1:$Z$1,0))="Consolidado")+--(INDEX(NORMATIVOS!$C$35:$Z$35,1,MATCH($B$3,NORMATIVOS!$C$1:$Z$1,0))="Consolidado")+--(INDEX(NORMATIVOS!$C$36:$Z$36,1,MATCH($B$3,NORMATIVOS!$C$1:$Z$1,0))="Consolidado")+--(INDEX(NORMATIVOS!$C$37:$Z$37,1,MATCH($B$3,NORMATIVOS!$C$1:$Z$1,0))="Consolidado")</f>
        <v>5</v>
      </c>
      <c r="F8">
        <f>--(INDEX(NORMATIVOS!$C$28:$Z$28,1,MATCH($B$3,NORMATIVOS!$C$1:$Z$1,0))="En proceso")+--(INDEX(NORMATIVOS!$C$29:$Z$29,1,MATCH($B$3,NORMATIVOS!$C$1:$Z$1,0))="En proceso")+--(INDEX(NORMATIVOS!$C$30:$Z$30,1,MATCH($B$3,NORMATIVOS!$C$1:$Z$1,0))="En proceso")+--(INDEX(NORMATIVOS!$C$31:$Z$31,1,MATCH($B$3,NORMATIVOS!$C$1:$Z$1,0))="En proceso")+--(INDEX(NORMATIVOS!$C$32:$Z$32,1,MATCH($B$3,NORMATIVOS!$C$1:$Z$1,0))="En proceso")+--(INDEX(NORMATIVOS!$C$33:$Z$33,1,MATCH($B$3,NORMATIVOS!$C$1:$Z$1,0))="En proceso")+--(INDEX(NORMATIVOS!$C$34:$Z$34,1,MATCH($B$3,NORMATIVOS!$C$1:$Z$1,0))="En proceso")+--(INDEX(NORMATIVOS!$C$35:$Z$35,1,MATCH($B$3,NORMATIVOS!$C$1:$Z$1,0))="En proceso")+--(INDEX(NORMATIVOS!$C$36:$Z$36,1,MATCH($B$3,NORMATIVOS!$C$1:$Z$1,0))="En proceso")+--(INDEX(NORMATIVOS!$C$37:$Z$37,1,MATCH($B$3,NORMATIVOS!$C$1:$Z$1,0))="En proceso")</f>
        <v>4</v>
      </c>
      <c r="G8">
        <f>--(INDEX(NORMATIVOS!$C$28:$Z$28,1,MATCH($B$3,NORMATIVOS!$C$1:$Z$1,0))="Proyección")+--(INDEX(NORMATIVOS!$C$29:$Z$29,1,MATCH($B$3,NORMATIVOS!$C$1:$Z$1,0))="Proyección")+--(INDEX(NORMATIVOS!$C$30:$Z$30,1,MATCH($B$3,NORMATIVOS!$C$1:$Z$1,0))="Proyección")+--(INDEX(NORMATIVOS!$C$31:$Z$31,1,MATCH($B$3,NORMATIVOS!$C$1:$Z$1,0))="Proyección")+--(INDEX(NORMATIVOS!$C$32:$Z$32,1,MATCH($B$3,NORMATIVOS!$C$1:$Z$1,0))="Proyección")+--(INDEX(NORMATIVOS!$C$33:$Z$33,1,MATCH($B$3,NORMATIVOS!$C$1:$Z$1,0))="Proyección")+--(INDEX(NORMATIVOS!$C$34:$Z$34,1,MATCH($B$3,NORMATIVOS!$C$1:$Z$1,0))="Proyección")+--(INDEX(NORMATIVOS!$C$35:$Z$35,1,MATCH($B$3,NORMATIVOS!$C$1:$Z$1,0))="Proyección")+--(INDEX(NORMATIVOS!$C$36:$Z$36,1,MATCH($B$3,NORMATIVOS!$C$1:$Z$1,0))="Proyección")+--(INDEX(NORMATIVOS!$C$37:$Z$37,1,MATCH($B$3,NORMATIVOS!$C$1:$Z$1,0))="Proyección")</f>
        <v>1</v>
      </c>
      <c r="H8" s="15">
        <f t="shared" si="0"/>
        <v>0.5</v>
      </c>
    </row>
    <row r="9" spans="1:8" x14ac:dyDescent="0.2">
      <c r="A9" s="14" t="s">
        <v>4</v>
      </c>
      <c r="B9">
        <f>INDEX(CONSOLIDADO!$E$4:$E$5,MATCH($B$3,CONSOLIDADO!$A$4:$A$5,0))</f>
        <v>100</v>
      </c>
      <c r="D9" t="s">
        <v>276</v>
      </c>
      <c r="E9">
        <f>--(INDEX(NORMATIVOS!$C$38:$Z$38,1,MATCH($B$3,NORMATIVOS!$C$1:$Z$1,0))="Consolidado")+--(INDEX(NORMATIVOS!$C$39:$Z$39,1,MATCH($B$3,NORMATIVOS!$C$1:$Z$1,0))="Consolidado")+--(INDEX(NORMATIVOS!$C$40:$Z$40,1,MATCH($B$3,NORMATIVOS!$C$1:$Z$1,0))="Consolidado")+--(INDEX(NORMATIVOS!$C$41:$Z$41,1,MATCH($B$3,NORMATIVOS!$C$1:$Z$1,0))="Consolidado")+--(INDEX(NORMATIVOS!$C$42:$Z$42,1,MATCH($B$3,NORMATIVOS!$C$1:$Z$1,0))="Consolidado")+--(INDEX(NORMATIVOS!$C$43:$Z$43,1,MATCH($B$3,NORMATIVOS!$C$1:$Z$1,0))="Consolidado")+--(INDEX(NORMATIVOS!$C$44:$Z$44,1,MATCH($B$3,NORMATIVOS!$C$1:$Z$1,0))="Consolidado")+--(INDEX(NORMATIVOS!$C$45:$Z$45,1,MATCH($B$3,NORMATIVOS!$C$1:$Z$1,0))="Consolidado")+--(INDEX(NORMATIVOS!$C$46:$Z$46,1,MATCH($B$3,NORMATIVOS!$C$1:$Z$1,0))="Consolidado")</f>
        <v>0</v>
      </c>
      <c r="F9">
        <f>--(INDEX(NORMATIVOS!$C$38:$Z$38,1,MATCH($B$3,NORMATIVOS!$C$1:$Z$1,0))="En proceso")+--(INDEX(NORMATIVOS!$C$39:$Z$39,1,MATCH($B$3,NORMATIVOS!$C$1:$Z$1,0))="En proceso")+--(INDEX(NORMATIVOS!$C$40:$Z$40,1,MATCH($B$3,NORMATIVOS!$C$1:$Z$1,0))="En proceso")+--(INDEX(NORMATIVOS!$C$41:$Z$41,1,MATCH($B$3,NORMATIVOS!$C$1:$Z$1,0))="En proceso")+--(INDEX(NORMATIVOS!$C$42:$Z$42,1,MATCH($B$3,NORMATIVOS!$C$1:$Z$1,0))="En proceso")+--(INDEX(NORMATIVOS!$C$43:$Z$43,1,MATCH($B$3,NORMATIVOS!$C$1:$Z$1,0))="En proceso")+--(INDEX(NORMATIVOS!$C$44:$Z$44,1,MATCH($B$3,NORMATIVOS!$C$1:$Z$1,0))="En proceso")+--(INDEX(NORMATIVOS!$C$45:$Z$45,1,MATCH($B$3,NORMATIVOS!$C$1:$Z$1,0))="En proceso")+--(INDEX(NORMATIVOS!$C$46:$Z$46,1,MATCH($B$3,NORMATIVOS!$C$1:$Z$1,0))="En proceso")</f>
        <v>7</v>
      </c>
      <c r="G9">
        <f>--(INDEX(NORMATIVOS!$C$38:$Z$38,1,MATCH($B$3,NORMATIVOS!$C$1:$Z$1,0))="Proyección")+--(INDEX(NORMATIVOS!$C$39:$Z$39,1,MATCH($B$3,NORMATIVOS!$C$1:$Z$1,0))="Proyección")+--(INDEX(NORMATIVOS!$C$40:$Z$40,1,MATCH($B$3,NORMATIVOS!$C$1:$Z$1,0))="Proyección")+--(INDEX(NORMATIVOS!$C$41:$Z$41,1,MATCH($B$3,NORMATIVOS!$C$1:$Z$1,0))="Proyección")+--(INDEX(NORMATIVOS!$C$42:$Z$42,1,MATCH($B$3,NORMATIVOS!$C$1:$Z$1,0))="Proyección")+--(INDEX(NORMATIVOS!$C$43:$Z$43,1,MATCH($B$3,NORMATIVOS!$C$1:$Z$1,0))="Proyección")+--(INDEX(NORMATIVOS!$C$44:$Z$44,1,MATCH($B$3,NORMATIVOS!$C$1:$Z$1,0))="Proyección")+--(INDEX(NORMATIVOS!$C$45:$Z$45,1,MATCH($B$3,NORMATIVOS!$C$1:$Z$1,0))="Proyección")+--(INDEX(NORMATIVOS!$C$46:$Z$46,1,MATCH($B$3,NORMATIVOS!$C$1:$Z$1,0))="Proyección")</f>
        <v>0</v>
      </c>
      <c r="H9" s="15">
        <f t="shared" si="0"/>
        <v>0</v>
      </c>
    </row>
    <row r="10" spans="1:8" x14ac:dyDescent="0.2">
      <c r="A10" s="14" t="s">
        <v>269</v>
      </c>
      <c r="B10">
        <f>INDEX(CONSOLIDADO!$F$4:$F$5,MATCH($B$3,CONSOLIDADO!$A$4:$A$5,0))</f>
        <v>2</v>
      </c>
      <c r="D10" t="s">
        <v>52</v>
      </c>
      <c r="E10">
        <f>--(INDEX(NORMATIVOS!$C$49:$Z$49,1,MATCH($B$3,NORMATIVOS!$C$1:$Z$1,0))="Consolidado")+--(INDEX(NORMATIVOS!$C$50:$Z$50,1,MATCH($B$3,NORMATIVOS!$C$1:$Z$1,0))="Consolidado")+--(INDEX(NORMATIVOS!$C$51:$Z$51,1,MATCH($B$3,NORMATIVOS!$C$1:$Z$1,0))="Consolidado")+--(INDEX(NORMATIVOS!$C$52:$Z$52,1,MATCH($B$3,NORMATIVOS!$C$1:$Z$1,0))="Consolidado")+--(INDEX(NORMATIVOS!$C$53:$Z$53,1,MATCH($B$3,NORMATIVOS!$C$1:$Z$1,0))="Consolidado")+--(INDEX(NORMATIVOS!$C$54:$Z$54,1,MATCH($B$3,NORMATIVOS!$C$1:$Z$1,0))="Consolidado")+--(INDEX(NORMATIVOS!$C$55:$Z$55,1,MATCH($B$3,NORMATIVOS!$C$1:$Z$1,0))="Consolidado")+--(INDEX(NORMATIVOS!$C$56:$Z$56,1,MATCH($B$3,NORMATIVOS!$C$1:$Z$1,0))="Consolidado")+--(INDEX(NORMATIVOS!$C$57:$Z$57,1,MATCH($B$3,NORMATIVOS!$C$1:$Z$1,0))="Consolidado")+--(INDEX(NORMATIVOS!$C$58:$Z$58,1,MATCH($B$3,NORMATIVOS!$C$1:$Z$1,0))="Consolidado")+--(INDEX(NORMATIVOS!$C$59:$Z$59,1,MATCH($B$3,NORMATIVOS!$C$1:$Z$1,0))="Consolidado")+--(INDEX(NORMATIVOS!$C$60:$Z$60,1,MATCH($B$3,NORMATIVOS!$C$1:$Z$1,0))="Consolidado")+--(INDEX(NORMATIVOS!$C$61:$Z$61,1,MATCH($B$3,NORMATIVOS!$C$1:$Z$1,0))="Consolidado")+--(INDEX(NORMATIVOS!$C$62:$Z$62,1,MATCH($B$3,NORMATIVOS!$C$1:$Z$1,0))="Consolidado")+--(INDEX(NORMATIVOS!$C$63:$Z$63,1,MATCH($B$3,NORMATIVOS!$C$1:$Z$1,0))="Consolidado")+--(INDEX(NORMATIVOS!$C$64:$Z$64,1,MATCH($B$3,NORMATIVOS!$C$1:$Z$1,0))="Consolidado")</f>
        <v>13</v>
      </c>
      <c r="F10">
        <f>--(INDEX(NORMATIVOS!$C$49:$Z$49,1,MATCH($B$3,NORMATIVOS!$C$1:$Z$1,0))="En proceso")+--(INDEX(NORMATIVOS!$C$50:$Z$50,1,MATCH($B$3,NORMATIVOS!$C$1:$Z$1,0))="En proceso")+--(INDEX(NORMATIVOS!$C$51:$Z$51,1,MATCH($B$3,NORMATIVOS!$C$1:$Z$1,0))="En proceso")+--(INDEX(NORMATIVOS!$C$52:$Z$52,1,MATCH($B$3,NORMATIVOS!$C$1:$Z$1,0))="En proceso")+--(INDEX(NORMATIVOS!$C$53:$Z$53,1,MATCH($B$3,NORMATIVOS!$C$1:$Z$1,0))="En proceso")+--(INDEX(NORMATIVOS!$C$54:$Z$54,1,MATCH($B$3,NORMATIVOS!$C$1:$Z$1,0))="En proceso")+--(INDEX(NORMATIVOS!$C$55:$Z$55,1,MATCH($B$3,NORMATIVOS!$C$1:$Z$1,0))="En proceso")+--(INDEX(NORMATIVOS!$C$56:$Z$56,1,MATCH($B$3,NORMATIVOS!$C$1:$Z$1,0))="En proceso")+--(INDEX(NORMATIVOS!$C$57:$Z$57,1,MATCH($B$3,NORMATIVOS!$C$1:$Z$1,0))="En proceso")+--(INDEX(NORMATIVOS!$C$58:$Z$58,1,MATCH($B$3,NORMATIVOS!$C$1:$Z$1,0))="En proceso")+--(INDEX(NORMATIVOS!$C$59:$Z$59,1,MATCH($B$3,NORMATIVOS!$C$1:$Z$1,0))="En proceso")+--(INDEX(NORMATIVOS!$C$60:$Z$60,1,MATCH($B$3,NORMATIVOS!$C$1:$Z$1,0))="En proceso")+--(INDEX(NORMATIVOS!$C$61:$Z$61,1,MATCH($B$3,NORMATIVOS!$C$1:$Z$1,0))="En proceso")+--(INDEX(NORMATIVOS!$C$62:$Z$62,1,MATCH($B$3,NORMATIVOS!$C$1:$Z$1,0))="En proceso")+--(INDEX(NORMATIVOS!$C$63:$Z$63,1,MATCH($B$3,NORMATIVOS!$C$1:$Z$1,0))="En proceso")+--(INDEX(NORMATIVOS!$C$64:$Z$64,1,MATCH($B$3,NORMATIVOS!$C$1:$Z$1,0))="En proceso")</f>
        <v>1</v>
      </c>
      <c r="G10">
        <f>--(INDEX(NORMATIVOS!$C$49:$Z$49,1,MATCH($B$3,NORMATIVOS!$C$1:$Z$1,0))="Proyección")+--(INDEX(NORMATIVOS!$C$50:$Z$50,1,MATCH($B$3,NORMATIVOS!$C$1:$Z$1,0))="Proyección")+--(INDEX(NORMATIVOS!$C$51:$Z$51,1,MATCH($B$3,NORMATIVOS!$C$1:$Z$1,0))="Proyección")+--(INDEX(NORMATIVOS!$C$52:$Z$52,1,MATCH($B$3,NORMATIVOS!$C$1:$Z$1,0))="Proyección")+--(INDEX(NORMATIVOS!$C$53:$Z$53,1,MATCH($B$3,NORMATIVOS!$C$1:$Z$1,0))="Proyección")+--(INDEX(NORMATIVOS!$C$54:$Z$54,1,MATCH($B$3,NORMATIVOS!$C$1:$Z$1,0))="Proyección")+--(INDEX(NORMATIVOS!$C$55:$Z$55,1,MATCH($B$3,NORMATIVOS!$C$1:$Z$1,0))="Proyección")+--(INDEX(NORMATIVOS!$C$56:$Z$56,1,MATCH($B$3,NORMATIVOS!$C$1:$Z$1,0))="Proyección")+--(INDEX(NORMATIVOS!$C$57:$Z$57,1,MATCH($B$3,NORMATIVOS!$C$1:$Z$1,0))="Proyección")+--(INDEX(NORMATIVOS!$C$58:$Z$58,1,MATCH($B$3,NORMATIVOS!$C$1:$Z$1,0))="Proyección")+--(INDEX(NORMATIVOS!$C$59:$Z$59,1,MATCH($B$3,NORMATIVOS!$C$1:$Z$1,0))="Proyección")+--(INDEX(NORMATIVOS!$C$60:$Z$60,1,MATCH($B$3,NORMATIVOS!$C$1:$Z$1,0))="Proyección")+--(INDEX(NORMATIVOS!$C$61:$Z$61,1,MATCH($B$3,NORMATIVOS!$C$1:$Z$1,0))="Proyección")+--(INDEX(NORMATIVOS!$C$62:$Z$62,1,MATCH($B$3,NORMATIVOS!$C$1:$Z$1,0))="Proyección")+--(INDEX(NORMATIVOS!$C$63:$Z$63,1,MATCH($B$3,NORMATIVOS!$C$1:$Z$1,0))="Proyección")+--(INDEX(NORMATIVOS!$C$64:$Z$64,1,MATCH($B$3,NORMATIVOS!$C$1:$Z$1,0))="Proyección")</f>
        <v>2</v>
      </c>
      <c r="H10" s="15">
        <f t="shared" si="0"/>
        <v>0.8125</v>
      </c>
    </row>
    <row r="11" spans="1:8" x14ac:dyDescent="0.2">
      <c r="A11" s="14" t="s">
        <v>283</v>
      </c>
      <c r="B11" s="15">
        <f>INDEX(CONSOLIDADO!$G$4:$G$5,MATCH($B$3,CONSOLIDADO!$A$4:$A$5,0))</f>
        <v>0.43129770992366412</v>
      </c>
      <c r="D11" t="s">
        <v>69</v>
      </c>
      <c r="E11">
        <f>--(INDEX(NORMATIVOS!$C$65:$Z$65,1,MATCH($B$3,NORMATIVOS!$C$1:$Z$1,0))="Consolidado")+--(INDEX(NORMATIVOS!$C$66:$Z$66,1,MATCH($B$3,NORMATIVOS!$C$1:$Z$1,0))="Consolidado")+--(INDEX(NORMATIVOS!$C$67:$Z$67,1,MATCH($B$3,NORMATIVOS!$C$1:$Z$1,0))="Consolidado")+--(INDEX(NORMATIVOS!$C$68:$Z$68,1,MATCH($B$3,NORMATIVOS!$C$1:$Z$1,0))="Consolidado")+--(INDEX(NORMATIVOS!$C$69:$Z$69,1,MATCH($B$3,NORMATIVOS!$C$1:$Z$1,0))="Consolidado")+--(INDEX(NORMATIVOS!$C$70:$Z$70,1,MATCH($B$3,NORMATIVOS!$C$1:$Z$1,0))="Consolidado")+--(INDEX(NORMATIVOS!$C$71:$Z$71,1,MATCH($B$3,NORMATIVOS!$C$1:$Z$1,0))="Consolidado")+--(INDEX(NORMATIVOS!$C$72:$Z$72,1,MATCH($B$3,NORMATIVOS!$C$1:$Z$1,0))="Consolidado")+--(INDEX(NORMATIVOS!$C$73:$Z$73,1,MATCH($B$3,NORMATIVOS!$C$1:$Z$1,0))="Consolidado")+--(INDEX(NORMATIVOS!$C$74:$Z$74,1,MATCH($B$3,NORMATIVOS!$C$1:$Z$1,0))="Consolidado")+--(INDEX(NORMATIVOS!$C$75:$Z$75,1,MATCH($B$3,NORMATIVOS!$C$1:$Z$1,0))="Consolidado")+--(INDEX(NORMATIVOS!$C$76:$Z$76,1,MATCH($B$3,NORMATIVOS!$C$1:$Z$1,0))="Consolidado")+--(INDEX(NORMATIVOS!$C$77:$Z$77,1,MATCH($B$3,NORMATIVOS!$C$1:$Z$1,0))="Consolidado")+--(INDEX(NORMATIVOS!$C$78:$Z$78,1,MATCH($B$3,NORMATIVOS!$C$1:$Z$1,0))="Consolidado")</f>
        <v>7</v>
      </c>
      <c r="F11">
        <f>--(INDEX(NORMATIVOS!$C$65:$Z$65,1,MATCH($B$3,NORMATIVOS!$C$1:$Z$1,0))="En proceso")+--(INDEX(NORMATIVOS!$C$66:$Z$66,1,MATCH($B$3,NORMATIVOS!$C$1:$Z$1,0))="En proceso")+--(INDEX(NORMATIVOS!$C$67:$Z$67,1,MATCH($B$3,NORMATIVOS!$C$1:$Z$1,0))="En proceso")+--(INDEX(NORMATIVOS!$C$68:$Z$68,1,MATCH($B$3,NORMATIVOS!$C$1:$Z$1,0))="En proceso")+--(INDEX(NORMATIVOS!$C$69:$Z$69,1,MATCH($B$3,NORMATIVOS!$C$1:$Z$1,0))="En proceso")+--(INDEX(NORMATIVOS!$C$70:$Z$70,1,MATCH($B$3,NORMATIVOS!$C$1:$Z$1,0))="En proceso")+--(INDEX(NORMATIVOS!$C$71:$Z$71,1,MATCH($B$3,NORMATIVOS!$C$1:$Z$1,0))="En proceso")+--(INDEX(NORMATIVOS!$C$72:$Z$72,1,MATCH($B$3,NORMATIVOS!$C$1:$Z$1,0))="En proceso")+--(INDEX(NORMATIVOS!$C$73:$Z$73,1,MATCH($B$3,NORMATIVOS!$C$1:$Z$1,0))="En proceso")+--(INDEX(NORMATIVOS!$C$74:$Z$74,1,MATCH($B$3,NORMATIVOS!$C$1:$Z$1,0))="En proceso")+--(INDEX(NORMATIVOS!$C$75:$Z$75,1,MATCH($B$3,NORMATIVOS!$C$1:$Z$1,0))="En proceso")+--(INDEX(NORMATIVOS!$C$76:$Z$76,1,MATCH($B$3,NORMATIVOS!$C$1:$Z$1,0))="En proceso")+--(INDEX(NORMATIVOS!$C$77:$Z$77,1,MATCH($B$3,NORMATIVOS!$C$1:$Z$1,0))="En proceso")+--(INDEX(NORMATIVOS!$C$78:$Z$78,1,MATCH($B$3,NORMATIVOS!$C$1:$Z$1,0))="En proceso")</f>
        <v>4</v>
      </c>
      <c r="G11">
        <f>--(INDEX(NORMATIVOS!$C$65:$Z$65,1,MATCH($B$3,NORMATIVOS!$C$1:$Z$1,0))="Proyección")+--(INDEX(NORMATIVOS!$C$66:$Z$66,1,MATCH($B$3,NORMATIVOS!$C$1:$Z$1,0))="Proyección")+--(INDEX(NORMATIVOS!$C$67:$Z$67,1,MATCH($B$3,NORMATIVOS!$C$1:$Z$1,0))="Proyección")+--(INDEX(NORMATIVOS!$C$68:$Z$68,1,MATCH($B$3,NORMATIVOS!$C$1:$Z$1,0))="Proyección")+--(INDEX(NORMATIVOS!$C$69:$Z$69,1,MATCH($B$3,NORMATIVOS!$C$1:$Z$1,0))="Proyección")+--(INDEX(NORMATIVOS!$C$70:$Z$70,1,MATCH($B$3,NORMATIVOS!$C$1:$Z$1,0))="Proyección")+--(INDEX(NORMATIVOS!$C$71:$Z$71,1,MATCH($B$3,NORMATIVOS!$C$1:$Z$1,0))="Proyección")+--(INDEX(NORMATIVOS!$C$72:$Z$72,1,MATCH($B$3,NORMATIVOS!$C$1:$Z$1,0))="Proyección")+--(INDEX(NORMATIVOS!$C$73:$Z$73,1,MATCH($B$3,NORMATIVOS!$C$1:$Z$1,0))="Proyección")+--(INDEX(NORMATIVOS!$C$74:$Z$74,1,MATCH($B$3,NORMATIVOS!$C$1:$Z$1,0))="Proyección")+--(INDEX(NORMATIVOS!$C$75:$Z$75,1,MATCH($B$3,NORMATIVOS!$C$1:$Z$1,0))="Proyección")+--(INDEX(NORMATIVOS!$C$76:$Z$76,1,MATCH($B$3,NORMATIVOS!$C$1:$Z$1,0))="Proyección")+--(INDEX(NORMATIVOS!$C$77:$Z$77,1,MATCH($B$3,NORMATIVOS!$C$1:$Z$1,0))="Proyección")+--(INDEX(NORMATIVOS!$C$78:$Z$78,1,MATCH($B$3,NORMATIVOS!$C$1:$Z$1,0))="Proyección")</f>
        <v>3</v>
      </c>
      <c r="H11" s="15">
        <f t="shared" si="0"/>
        <v>0.5</v>
      </c>
    </row>
    <row r="12" spans="1:8" x14ac:dyDescent="0.2">
      <c r="D12" t="s">
        <v>79</v>
      </c>
      <c r="E12">
        <f>--(INDEX(NORMATIVOS!$C$79:$Z$79,1,MATCH($B$3,NORMATIVOS!$C$1:$Z$1,0))="Consolidado")+--(INDEX(NORMATIVOS!$C$80:$Z$80,1,MATCH($B$3,NORMATIVOS!$C$1:$Z$1,0))="Consolidado")+--(INDEX(NORMATIVOS!$C$81:$Z$81,1,MATCH($B$3,NORMATIVOS!$C$1:$Z$1,0))="Consolidado")+--(INDEX(NORMATIVOS!$C$82:$Z$82,1,MATCH($B$3,NORMATIVOS!$C$1:$Z$1,0))="Consolidado")+--(INDEX(NORMATIVOS!$C$83:$Z$83,1,MATCH($B$3,NORMATIVOS!$C$1:$Z$1,0))="Consolidado")+--(INDEX(NORMATIVOS!$C$84:$Z$84,1,MATCH($B$3,NORMATIVOS!$C$1:$Z$1,0))="Consolidado")+--(INDEX(NORMATIVOS!$C$85:$Z$85,1,MATCH($B$3,NORMATIVOS!$C$1:$Z$1,0))="Consolidado")+--(INDEX(NORMATIVOS!$C$86:$Z$86,1,MATCH($B$3,NORMATIVOS!$C$1:$Z$1,0))="Consolidado")+--(INDEX(NORMATIVOS!$C$87:$Z$87,1,MATCH($B$3,NORMATIVOS!$C$1:$Z$1,0))="Consolidado")+--(INDEX(NORMATIVOS!$C$88:$Z$88,1,MATCH($B$3,NORMATIVOS!$C$1:$Z$1,0))="Consolidado")+--(INDEX(NORMATIVOS!$C$89:$Z$89,1,MATCH($B$3,NORMATIVOS!$C$1:$Z$1,0))="Consolidado")+--(INDEX(NORMATIVOS!$C$90:$Z$90,1,MATCH($B$3,NORMATIVOS!$C$1:$Z$1,0))="Consolidado")+--(INDEX(NORMATIVOS!$C$91:$Z$91,1,MATCH($B$3,NORMATIVOS!$C$1:$Z$1,0))="Consolidado")+--(INDEX(NORMATIVOS!$C$92:$Z$92,1,MATCH($B$3,NORMATIVOS!$C$1:$Z$1,0))="Consolidado")+--(INDEX(NORMATIVOS!$C$93:$Z$93,1,MATCH($B$3,NORMATIVOS!$C$1:$Z$1,0))="Consolidado")+--(INDEX(NORMATIVOS!$C$94:$Z$94,1,MATCH($B$3,NORMATIVOS!$C$1:$Z$1,0))="Consolidado")+--(INDEX(NORMATIVOS!$C$95:$Z$95,1,MATCH($B$3,NORMATIVOS!$C$1:$Z$1,0))="Consolidado")+--(INDEX(NORMATIVOS!$C$96:$Z$96,1,MATCH($B$3,NORMATIVOS!$C$1:$Z$1,0))="Consolidado")+--(INDEX(NORMATIVOS!$C$97:$Z$97,1,MATCH($B$3,NORMATIVOS!$C$1:$Z$1,0))="Consolidado")+--(INDEX(NORMATIVOS!$C$98:$Z$98,1,MATCH($B$3,NORMATIVOS!$C$1:$Z$1,0))="Consolidado")+--(INDEX(NORMATIVOS!$C$99:$Z$99,1,MATCH($B$3,NORMATIVOS!$C$1:$Z$1,0))="Consolidado")+--(INDEX(NORMATIVOS!$C$100:$Z$100,1,MATCH($B$3,NORMATIVOS!$C$1:$Z$1,0))="Consolidado")+--(INDEX(NORMATIVOS!$C$101:$Z$101,1,MATCH($B$3,NORMATIVOS!$C$1:$Z$1,0))="Consolidado")+--(INDEX(NORMATIVOS!$C$102:$Z$102,1,MATCH($B$3,NORMATIVOS!$C$1:$Z$1,0))="Consolidado")+--(INDEX(NORMATIVOS!$C$103:$Z$103,1,MATCH($B$3,NORMATIVOS!$C$1:$Z$1,0))="Consolidado")+--(INDEX(NORMATIVOS!$C$104:$Z$104,1,MATCH($B$3,NORMATIVOS!$C$1:$Z$1,0))="Consolidado")</f>
        <v>3</v>
      </c>
      <c r="F12">
        <f>--(INDEX(NORMATIVOS!$C$79:$Z$79,1,MATCH($B$3,NORMATIVOS!$C$1:$Z$1,0))="En proceso")+--(INDEX(NORMATIVOS!$C$80:$Z$80,1,MATCH($B$3,NORMATIVOS!$C$1:$Z$1,0))="En proceso")+--(INDEX(NORMATIVOS!$C$81:$Z$81,1,MATCH($B$3,NORMATIVOS!$C$1:$Z$1,0))="En proceso")+--(INDEX(NORMATIVOS!$C$82:$Z$82,1,MATCH($B$3,NORMATIVOS!$C$1:$Z$1,0))="En proceso")+--(INDEX(NORMATIVOS!$C$83:$Z$83,1,MATCH($B$3,NORMATIVOS!$C$1:$Z$1,0))="En proceso")+--(INDEX(NORMATIVOS!$C$84:$Z$84,1,MATCH($B$3,NORMATIVOS!$C$1:$Z$1,0))="En proceso")+--(INDEX(NORMATIVOS!$C$85:$Z$85,1,MATCH($B$3,NORMATIVOS!$C$1:$Z$1,0))="En proceso")+--(INDEX(NORMATIVOS!$C$86:$Z$86,1,MATCH($B$3,NORMATIVOS!$C$1:$Z$1,0))="En proceso")+--(INDEX(NORMATIVOS!$C$87:$Z$87,1,MATCH($B$3,NORMATIVOS!$C$1:$Z$1,0))="En proceso")+--(INDEX(NORMATIVOS!$C$88:$Z$88,1,MATCH($B$3,NORMATIVOS!$C$1:$Z$1,0))="En proceso")+--(INDEX(NORMATIVOS!$C$89:$Z$89,1,MATCH($B$3,NORMATIVOS!$C$1:$Z$1,0))="En proceso")+--(INDEX(NORMATIVOS!$C$90:$Z$90,1,MATCH($B$3,NORMATIVOS!$C$1:$Z$1,0))="En proceso")+--(INDEX(NORMATIVOS!$C$91:$Z$91,1,MATCH($B$3,NORMATIVOS!$C$1:$Z$1,0))="En proceso")+--(INDEX(NORMATIVOS!$C$92:$Z$92,1,MATCH($B$3,NORMATIVOS!$C$1:$Z$1,0))="En proceso")+--(INDEX(NORMATIVOS!$C$93:$Z$93,1,MATCH($B$3,NORMATIVOS!$C$1:$Z$1,0))="En proceso")+--(INDEX(NORMATIVOS!$C$94:$Z$94,1,MATCH($B$3,NORMATIVOS!$C$1:$Z$1,0))="En proceso")+--(INDEX(NORMATIVOS!$C$95:$Z$95,1,MATCH($B$3,NORMATIVOS!$C$1:$Z$1,0))="En proceso")+--(INDEX(NORMATIVOS!$C$96:$Z$96,1,MATCH($B$3,NORMATIVOS!$C$1:$Z$1,0))="En proceso")+--(INDEX(NORMATIVOS!$C$97:$Z$97,1,MATCH($B$3,NORMATIVOS!$C$1:$Z$1,0))="En proceso")+--(INDEX(NORMATIVOS!$C$98:$Z$98,1,MATCH($B$3,NORMATIVOS!$C$1:$Z$1,0))="En proceso")+--(INDEX(NORMATIVOS!$C$99:$Z$99,1,MATCH($B$3,NORMATIVOS!$C$1:$Z$1,0))="En proceso")+--(INDEX(NORMATIVOS!$C$100:$Z$100,1,MATCH($B$3,NORMATIVOS!$C$1:$Z$1,0))="En proceso")+--(INDEX(NORMATIVOS!$C$101:$Z$101,1,MATCH($B$3,NORMATIVOS!$C$1:$Z$1,0))="En proceso")+--(INDEX(NORMATIVOS!$C$102:$Z$102,1,MATCH($B$3,NORMATIVOS!$C$1:$Z$1,0))="En proceso")+--(INDEX(NORMATIVOS!$C$103:$Z$103,1,MATCH($B$3,NORMATIVOS!$C$1:$Z$1,0))="En proceso")+--(INDEX(NORMATIVOS!$C$104:$Z$104,1,MATCH($B$3,NORMATIVOS!$C$1:$Z$1,0))="En proceso")</f>
        <v>2</v>
      </c>
      <c r="G12">
        <f>--(INDEX(NORMATIVOS!$C$79:$Z$79,1,MATCH($B$3,NORMATIVOS!$C$1:$Z$1,0))="Proyección")+--(INDEX(NORMATIVOS!$C$80:$Z$80,1,MATCH($B$3,NORMATIVOS!$C$1:$Z$1,0))="Proyección")+--(INDEX(NORMATIVOS!$C$81:$Z$81,1,MATCH($B$3,NORMATIVOS!$C$1:$Z$1,0))="Proyección")+--(INDEX(NORMATIVOS!$C$82:$Z$82,1,MATCH($B$3,NORMATIVOS!$C$1:$Z$1,0))="Proyección")+--(INDEX(NORMATIVOS!$C$83:$Z$83,1,MATCH($B$3,NORMATIVOS!$C$1:$Z$1,0))="Proyección")+--(INDEX(NORMATIVOS!$C$84:$Z$84,1,MATCH($B$3,NORMATIVOS!$C$1:$Z$1,0))="Proyección")+--(INDEX(NORMATIVOS!$C$85:$Z$85,1,MATCH($B$3,NORMATIVOS!$C$1:$Z$1,0))="Proyección")+--(INDEX(NORMATIVOS!$C$86:$Z$86,1,MATCH($B$3,NORMATIVOS!$C$1:$Z$1,0))="Proyección")+--(INDEX(NORMATIVOS!$C$87:$Z$87,1,MATCH($B$3,NORMATIVOS!$C$1:$Z$1,0))="Proyección")+--(INDEX(NORMATIVOS!$C$88:$Z$88,1,MATCH($B$3,NORMATIVOS!$C$1:$Z$1,0))="Proyección")+--(INDEX(NORMATIVOS!$C$89:$Z$89,1,MATCH($B$3,NORMATIVOS!$C$1:$Z$1,0))="Proyección")+--(INDEX(NORMATIVOS!$C$90:$Z$90,1,MATCH($B$3,NORMATIVOS!$C$1:$Z$1,0))="Proyección")+--(INDEX(NORMATIVOS!$C$91:$Z$91,1,MATCH($B$3,NORMATIVOS!$C$1:$Z$1,0))="Proyección")+--(INDEX(NORMATIVOS!$C$92:$Z$92,1,MATCH($B$3,NORMATIVOS!$C$1:$Z$1,0))="Proyección")+--(INDEX(NORMATIVOS!$C$93:$Z$93,1,MATCH($B$3,NORMATIVOS!$C$1:$Z$1,0))="Proyección")+--(INDEX(NORMATIVOS!$C$94:$Z$94,1,MATCH($B$3,NORMATIVOS!$C$1:$Z$1,0))="Proyección")+--(INDEX(NORMATIVOS!$C$95:$Z$95,1,MATCH($B$3,NORMATIVOS!$C$1:$Z$1,0))="Proyección")+--(INDEX(NORMATIVOS!$C$96:$Z$96,1,MATCH($B$3,NORMATIVOS!$C$1:$Z$1,0))="Proyección")+--(INDEX(NORMATIVOS!$C$97:$Z$97,1,MATCH($B$3,NORMATIVOS!$C$1:$Z$1,0))="Proyección")+--(INDEX(NORMATIVOS!$C$98:$Z$98,1,MATCH($B$3,NORMATIVOS!$C$1:$Z$1,0))="Proyección")+--(INDEX(NORMATIVOS!$C$99:$Z$99,1,MATCH($B$3,NORMATIVOS!$C$1:$Z$1,0))="Proyección")+--(INDEX(NORMATIVOS!$C$100:$Z$100,1,MATCH($B$3,NORMATIVOS!$C$1:$Z$1,0))="Proyección")+--(INDEX(NORMATIVOS!$C$101:$Z$101,1,MATCH($B$3,NORMATIVOS!$C$1:$Z$1,0))="Proyección")+--(INDEX(NORMATIVOS!$C$102:$Z$102,1,MATCH($B$3,NORMATIVOS!$C$1:$Z$1,0))="Proyección")+--(INDEX(NORMATIVOS!$C$103:$Z$103,1,MATCH($B$3,NORMATIVOS!$C$1:$Z$1,0))="Proyección")+--(INDEX(NORMATIVOS!$C$104:$Z$104,1,MATCH($B$3,NORMATIVOS!$C$1:$Z$1,0))="Proyección")</f>
        <v>21</v>
      </c>
      <c r="H12" s="15">
        <f t="shared" si="0"/>
        <v>0.11538461538461539</v>
      </c>
    </row>
    <row r="13" spans="1:8" x14ac:dyDescent="0.2">
      <c r="D13" t="s">
        <v>105</v>
      </c>
      <c r="E13">
        <f>--(INDEX(NORMATIVOS!$C$107:$Z$107,1,MATCH($B$3,NORMATIVOS!$C$1:$Z$1,0))="Consolidado")+--(INDEX(NORMATIVOS!$C$108:$Z$108,1,MATCH($B$3,NORMATIVOS!$C$1:$Z$1,0))="Consolidado")+--(INDEX(NORMATIVOS!$C$109:$Z$109,1,MATCH($B$3,NORMATIVOS!$C$1:$Z$1,0))="Consolidado")+--(INDEX(NORMATIVOS!$C$110:$Z$110,1,MATCH($B$3,NORMATIVOS!$C$1:$Z$1,0))="Consolidado")+--(INDEX(NORMATIVOS!$C$111:$Z$111,1,MATCH($B$3,NORMATIVOS!$C$1:$Z$1,0))="Consolidado")+--(INDEX(NORMATIVOS!$C$112:$Z$112,1,MATCH($B$3,NORMATIVOS!$C$1:$Z$1,0))="Consolidado")+--(INDEX(NORMATIVOS!$C$113:$Z$113,1,MATCH($B$3,NORMATIVOS!$C$1:$Z$1,0))="Consolidado")+--(INDEX(NORMATIVOS!$C$114:$Z$114,1,MATCH($B$3,NORMATIVOS!$C$1:$Z$1,0))="Consolidado")+--(INDEX(NORMATIVOS!$C$115:$Z$115,1,MATCH($B$3,NORMATIVOS!$C$1:$Z$1,0))="Consolidado")+--(INDEX(NORMATIVOS!$C$116:$Z$116,1,MATCH($B$3,NORMATIVOS!$C$1:$Z$1,0))="Consolidado")+--(INDEX(NORMATIVOS!$C$117:$Z$117,1,MATCH($B$3,NORMATIVOS!$C$1:$Z$1,0))="Consolidado")+--(INDEX(NORMATIVOS!$C$118:$Z$118,1,MATCH($B$3,NORMATIVOS!$C$1:$Z$1,0))="Consolidado")+--(INDEX(NORMATIVOS!$C$119:$Z$119,1,MATCH($B$3,NORMATIVOS!$C$1:$Z$1,0))="Consolidado")+--(INDEX(NORMATIVOS!$C$120:$Z$120,1,MATCH($B$3,NORMATIVOS!$C$1:$Z$1,0))="Consolidado")+--(INDEX(NORMATIVOS!$C$121:$Z$121,1,MATCH($B$3,NORMATIVOS!$C$1:$Z$1,0))="Consolidado")</f>
        <v>9</v>
      </c>
      <c r="F13">
        <f>--(INDEX(NORMATIVOS!$C$107:$Z$107,1,MATCH($B$3,NORMATIVOS!$C$1:$Z$1,0))="En proceso")+--(INDEX(NORMATIVOS!$C$108:$Z$108,1,MATCH($B$3,NORMATIVOS!$C$1:$Z$1,0))="En proceso")+--(INDEX(NORMATIVOS!$C$109:$Z$109,1,MATCH($B$3,NORMATIVOS!$C$1:$Z$1,0))="En proceso")+--(INDEX(NORMATIVOS!$C$110:$Z$110,1,MATCH($B$3,NORMATIVOS!$C$1:$Z$1,0))="En proceso")+--(INDEX(NORMATIVOS!$C$111:$Z$111,1,MATCH($B$3,NORMATIVOS!$C$1:$Z$1,0))="En proceso")+--(INDEX(NORMATIVOS!$C$112:$Z$112,1,MATCH($B$3,NORMATIVOS!$C$1:$Z$1,0))="En proceso")+--(INDEX(NORMATIVOS!$C$113:$Z$113,1,MATCH($B$3,NORMATIVOS!$C$1:$Z$1,0))="En proceso")+--(INDEX(NORMATIVOS!$C$114:$Z$114,1,MATCH($B$3,NORMATIVOS!$C$1:$Z$1,0))="En proceso")+--(INDEX(NORMATIVOS!$C$115:$Z$115,1,MATCH($B$3,NORMATIVOS!$C$1:$Z$1,0))="En proceso")+--(INDEX(NORMATIVOS!$C$116:$Z$116,1,MATCH($B$3,NORMATIVOS!$C$1:$Z$1,0))="En proceso")+--(INDEX(NORMATIVOS!$C$117:$Z$117,1,MATCH($B$3,NORMATIVOS!$C$1:$Z$1,0))="En proceso")+--(INDEX(NORMATIVOS!$C$118:$Z$118,1,MATCH($B$3,NORMATIVOS!$C$1:$Z$1,0))="En proceso")+--(INDEX(NORMATIVOS!$C$119:$Z$119,1,MATCH($B$3,NORMATIVOS!$C$1:$Z$1,0))="En proceso")+--(INDEX(NORMATIVOS!$C$120:$Z$120,1,MATCH($B$3,NORMATIVOS!$C$1:$Z$1,0))="En proceso")+--(INDEX(NORMATIVOS!$C$121:$Z$121,1,MATCH($B$3,NORMATIVOS!$C$1:$Z$1,0))="En proceso")</f>
        <v>3</v>
      </c>
      <c r="G13">
        <f>--(INDEX(NORMATIVOS!$C$107:$Z$107,1,MATCH($B$3,NORMATIVOS!$C$1:$Z$1,0))="Proyección")+--(INDEX(NORMATIVOS!$C$108:$Z$108,1,MATCH($B$3,NORMATIVOS!$C$1:$Z$1,0))="Proyección")+--(INDEX(NORMATIVOS!$C$109:$Z$109,1,MATCH($B$3,NORMATIVOS!$C$1:$Z$1,0))="Proyección")+--(INDEX(NORMATIVOS!$C$110:$Z$110,1,MATCH($B$3,NORMATIVOS!$C$1:$Z$1,0))="Proyección")+--(INDEX(NORMATIVOS!$C$111:$Z$111,1,MATCH($B$3,NORMATIVOS!$C$1:$Z$1,0))="Proyección")+--(INDEX(NORMATIVOS!$C$112:$Z$112,1,MATCH($B$3,NORMATIVOS!$C$1:$Z$1,0))="Proyección")+--(INDEX(NORMATIVOS!$C$113:$Z$113,1,MATCH($B$3,NORMATIVOS!$C$1:$Z$1,0))="Proyección")+--(INDEX(NORMATIVOS!$C$114:$Z$114,1,MATCH($B$3,NORMATIVOS!$C$1:$Z$1,0))="Proyección")+--(INDEX(NORMATIVOS!$C$115:$Z$115,1,MATCH($B$3,NORMATIVOS!$C$1:$Z$1,0))="Proyección")+--(INDEX(NORMATIVOS!$C$116:$Z$116,1,MATCH($B$3,NORMATIVOS!$C$1:$Z$1,0))="Proyección")+--(INDEX(NORMATIVOS!$C$117:$Z$117,1,MATCH($B$3,NORMATIVOS!$C$1:$Z$1,0))="Proyección")+--(INDEX(NORMATIVOS!$C$118:$Z$118,1,MATCH($B$3,NORMATIVOS!$C$1:$Z$1,0))="Proyección")+--(INDEX(NORMATIVOS!$C$119:$Z$119,1,MATCH($B$3,NORMATIVOS!$C$1:$Z$1,0))="Proyección")+--(INDEX(NORMATIVOS!$C$120:$Z$120,1,MATCH($B$3,NORMATIVOS!$C$1:$Z$1,0))="Proyección")+--(INDEX(NORMATIVOS!$C$121:$Z$121,1,MATCH($B$3,NORMATIVOS!$C$1:$Z$1,0))="Proyección")</f>
        <v>3</v>
      </c>
      <c r="H13" s="15">
        <f t="shared" si="0"/>
        <v>0.6</v>
      </c>
    </row>
    <row r="14" spans="1:8" x14ac:dyDescent="0.2">
      <c r="D14" t="s">
        <v>120</v>
      </c>
      <c r="E14">
        <f>--(INDEX(NORMATIVOS!$C$122:$Z$122,1,MATCH($B$3,NORMATIVOS!$C$1:$Z$1,0))="Consolidado")+--(INDEX(NORMATIVOS!$C$123:$Z$123,1,MATCH($B$3,NORMATIVOS!$C$1:$Z$1,0))="Consolidado")+--(INDEX(NORMATIVOS!$C$124:$Z$124,1,MATCH($B$3,NORMATIVOS!$C$1:$Z$1,0))="Consolidado")+--(INDEX(NORMATIVOS!$C$125:$Z$125,1,MATCH($B$3,NORMATIVOS!$C$1:$Z$1,0))="Consolidado")+--(INDEX(NORMATIVOS!$C$126:$Z$126,1,MATCH($B$3,NORMATIVOS!$C$1:$Z$1,0))="Consolidado")+--(INDEX(NORMATIVOS!$C$127:$Z$127,1,MATCH($B$3,NORMATIVOS!$C$1:$Z$1,0))="Consolidado")+--(INDEX(NORMATIVOS!$C$128:$Z$128,1,MATCH($B$3,NORMATIVOS!$C$1:$Z$1,0))="Consolidado")+--(INDEX(NORMATIVOS!$C$129:$Z$129,1,MATCH($B$3,NORMATIVOS!$C$1:$Z$1,0))="Consolidado")+--(INDEX(NORMATIVOS!$C$130:$Z$130,1,MATCH($B$3,NORMATIVOS!$C$1:$Z$1,0))="Consolidado")+--(INDEX(NORMATIVOS!$C$131:$Z$131,1,MATCH($B$3,NORMATIVOS!$C$1:$Z$1,0))="Consolidado")+--(INDEX(NORMATIVOS!$C$132:$Z$132,1,MATCH($B$3,NORMATIVOS!$C$1:$Z$1,0))="Consolidado")+--(INDEX(NORMATIVOS!$C$133:$Z$133,1,MATCH($B$3,NORMATIVOS!$C$1:$Z$1,0))="Consolidado")+--(INDEX(NORMATIVOS!$C$134:$Z$134,1,MATCH($B$3,NORMATIVOS!$C$1:$Z$1,0))="Consolidado")+--(INDEX(NORMATIVOS!$C$135:$Z$135,1,MATCH($B$3,NORMATIVOS!$C$1:$Z$1,0))="Consolidado")+--(INDEX(NORMATIVOS!$C$136:$Z$136,1,MATCH($B$3,NORMATIVOS!$C$1:$Z$1,0))="Consolidado")+--(INDEX(NORMATIVOS!$C$137:$Z$137,1,MATCH($B$3,NORMATIVOS!$C$1:$Z$1,0))="Consolidado")+--(INDEX(NORMATIVOS!$C$138:$Z$138,1,MATCH($B$3,NORMATIVOS!$C$1:$Z$1,0))="Consolidado")+--(INDEX(NORMATIVOS!$C$139:$Z$139,1,MATCH($B$3,NORMATIVOS!$C$1:$Z$1,0))="Consolidado")+--(INDEX(NORMATIVOS!$C$140:$Z$140,1,MATCH($B$3,NORMATIVOS!$C$1:$Z$1,0))="Consolidado")+--(INDEX(NORMATIVOS!$C$141:$Z$141,1,MATCH($B$3,NORMATIVOS!$C$1:$Z$1,0))="Consolidado")</f>
        <v>5</v>
      </c>
      <c r="F14">
        <f>--(INDEX(NORMATIVOS!$C$122:$Z$122,1,MATCH($B$3,NORMATIVOS!$C$1:$Z$1,0))="En proceso")+--(INDEX(NORMATIVOS!$C$123:$Z$123,1,MATCH($B$3,NORMATIVOS!$C$1:$Z$1,0))="En proceso")+--(INDEX(NORMATIVOS!$C$124:$Z$124,1,MATCH($B$3,NORMATIVOS!$C$1:$Z$1,0))="En proceso")+--(INDEX(NORMATIVOS!$C$125:$Z$125,1,MATCH($B$3,NORMATIVOS!$C$1:$Z$1,0))="En proceso")+--(INDEX(NORMATIVOS!$C$126:$Z$126,1,MATCH($B$3,NORMATIVOS!$C$1:$Z$1,0))="En proceso")+--(INDEX(NORMATIVOS!$C$127:$Z$127,1,MATCH($B$3,NORMATIVOS!$C$1:$Z$1,0))="En proceso")+--(INDEX(NORMATIVOS!$C$128:$Z$128,1,MATCH($B$3,NORMATIVOS!$C$1:$Z$1,0))="En proceso")+--(INDEX(NORMATIVOS!$C$129:$Z$129,1,MATCH($B$3,NORMATIVOS!$C$1:$Z$1,0))="En proceso")+--(INDEX(NORMATIVOS!$C$130:$Z$130,1,MATCH($B$3,NORMATIVOS!$C$1:$Z$1,0))="En proceso")+--(INDEX(NORMATIVOS!$C$131:$Z$131,1,MATCH($B$3,NORMATIVOS!$C$1:$Z$1,0))="En proceso")+--(INDEX(NORMATIVOS!$C$132:$Z$132,1,MATCH($B$3,NORMATIVOS!$C$1:$Z$1,0))="En proceso")+--(INDEX(NORMATIVOS!$C$133:$Z$133,1,MATCH($B$3,NORMATIVOS!$C$1:$Z$1,0))="En proceso")+--(INDEX(NORMATIVOS!$C$134:$Z$134,1,MATCH($B$3,NORMATIVOS!$C$1:$Z$1,0))="En proceso")+--(INDEX(NORMATIVOS!$C$135:$Z$135,1,MATCH($B$3,NORMATIVOS!$C$1:$Z$1,0))="En proceso")+--(INDEX(NORMATIVOS!$C$136:$Z$136,1,MATCH($B$3,NORMATIVOS!$C$1:$Z$1,0))="En proceso")+--(INDEX(NORMATIVOS!$C$137:$Z$137,1,MATCH($B$3,NORMATIVOS!$C$1:$Z$1,0))="En proceso")+--(INDEX(NORMATIVOS!$C$138:$Z$138,1,MATCH($B$3,NORMATIVOS!$C$1:$Z$1,0))="En proceso")+--(INDEX(NORMATIVOS!$C$139:$Z$139,1,MATCH($B$3,NORMATIVOS!$C$1:$Z$1,0))="En proceso")+--(INDEX(NORMATIVOS!$C$140:$Z$140,1,MATCH($B$3,NORMATIVOS!$C$1:$Z$1,0))="En proceso")+--(INDEX(NORMATIVOS!$C$141:$Z$141,1,MATCH($B$3,NORMATIVOS!$C$1:$Z$1,0))="En proceso")</f>
        <v>8</v>
      </c>
      <c r="G14">
        <f>--(INDEX(NORMATIVOS!$C$122:$Z$122,1,MATCH($B$3,NORMATIVOS!$C$1:$Z$1,0))="Proyección")+--(INDEX(NORMATIVOS!$C$123:$Z$123,1,MATCH($B$3,NORMATIVOS!$C$1:$Z$1,0))="Proyección")+--(INDEX(NORMATIVOS!$C$124:$Z$124,1,MATCH($B$3,NORMATIVOS!$C$1:$Z$1,0))="Proyección")+--(INDEX(NORMATIVOS!$C$125:$Z$125,1,MATCH($B$3,NORMATIVOS!$C$1:$Z$1,0))="Proyección")+--(INDEX(NORMATIVOS!$C$126:$Z$126,1,MATCH($B$3,NORMATIVOS!$C$1:$Z$1,0))="Proyección")+--(INDEX(NORMATIVOS!$C$127:$Z$127,1,MATCH($B$3,NORMATIVOS!$C$1:$Z$1,0))="Proyección")+--(INDEX(NORMATIVOS!$C$128:$Z$128,1,MATCH($B$3,NORMATIVOS!$C$1:$Z$1,0))="Proyección")+--(INDEX(NORMATIVOS!$C$129:$Z$129,1,MATCH($B$3,NORMATIVOS!$C$1:$Z$1,0))="Proyección")+--(INDEX(NORMATIVOS!$C$130:$Z$130,1,MATCH($B$3,NORMATIVOS!$C$1:$Z$1,0))="Proyección")+--(INDEX(NORMATIVOS!$C$131:$Z$131,1,MATCH($B$3,NORMATIVOS!$C$1:$Z$1,0))="Proyección")+--(INDEX(NORMATIVOS!$C$132:$Z$132,1,MATCH($B$3,NORMATIVOS!$C$1:$Z$1,0))="Proyección")+--(INDEX(NORMATIVOS!$C$133:$Z$133,1,MATCH($B$3,NORMATIVOS!$C$1:$Z$1,0))="Proyección")+--(INDEX(NORMATIVOS!$C$134:$Z$134,1,MATCH($B$3,NORMATIVOS!$C$1:$Z$1,0))="Proyección")+--(INDEX(NORMATIVOS!$C$135:$Z$135,1,MATCH($B$3,NORMATIVOS!$C$1:$Z$1,0))="Proyección")+--(INDEX(NORMATIVOS!$C$136:$Z$136,1,MATCH($B$3,NORMATIVOS!$C$1:$Z$1,0))="Proyección")+--(INDEX(NORMATIVOS!$C$137:$Z$137,1,MATCH($B$3,NORMATIVOS!$C$1:$Z$1,0))="Proyección")+--(INDEX(NORMATIVOS!$C$138:$Z$138,1,MATCH($B$3,NORMATIVOS!$C$1:$Z$1,0))="Proyección")+--(INDEX(NORMATIVOS!$C$139:$Z$139,1,MATCH($B$3,NORMATIVOS!$C$1:$Z$1,0))="Proyección")+--(INDEX(NORMATIVOS!$C$140:$Z$140,1,MATCH($B$3,NORMATIVOS!$C$1:$Z$1,0))="Proyección")+--(INDEX(NORMATIVOS!$C$141:$Z$141,1,MATCH($B$3,NORMATIVOS!$C$1:$Z$1,0))="Proyección")</f>
        <v>7</v>
      </c>
      <c r="H14" s="15">
        <f t="shared" si="0"/>
        <v>0.25</v>
      </c>
    </row>
    <row r="15" spans="1:8" x14ac:dyDescent="0.2">
      <c r="D15" t="s">
        <v>142</v>
      </c>
      <c r="E15">
        <f>--(INDEX(NORMATIVOS!$C$144:$Z$144,1,MATCH($B$3,NORMATIVOS!$C$1:$Z$1,0))="Consolidado")+--(INDEX(NORMATIVOS!$C$145:$Z$145,1,MATCH($B$3,NORMATIVOS!$C$1:$Z$1,0))="Consolidado")+--(INDEX(NORMATIVOS!$C$146:$Z$146,1,MATCH($B$3,NORMATIVOS!$C$1:$Z$1,0))="Consolidado")+--(INDEX(NORMATIVOS!$C$147:$Z$147,1,MATCH($B$3,NORMATIVOS!$C$1:$Z$1,0))="Consolidado")+--(INDEX(NORMATIVOS!$C$148:$Z$148,1,MATCH($B$3,NORMATIVOS!$C$1:$Z$1,0))="Consolidado")+--(INDEX(NORMATIVOS!$C$149:$Z$149,1,MATCH($B$3,NORMATIVOS!$C$1:$Z$1,0))="Consolidado")+--(INDEX(NORMATIVOS!$C$150:$Z$150,1,MATCH($B$3,NORMATIVOS!$C$1:$Z$1,0))="Consolidado")</f>
        <v>7</v>
      </c>
      <c r="F15">
        <f>--(INDEX(NORMATIVOS!$C$144:$Z$144,1,MATCH($B$3,NORMATIVOS!$C$1:$Z$1,0))="En proceso")+--(INDEX(NORMATIVOS!$C$145:$Z$145,1,MATCH($B$3,NORMATIVOS!$C$1:$Z$1,0))="En proceso")+--(INDEX(NORMATIVOS!$C$146:$Z$146,1,MATCH($B$3,NORMATIVOS!$C$1:$Z$1,0))="En proceso")+--(INDEX(NORMATIVOS!$C$147:$Z$147,1,MATCH($B$3,NORMATIVOS!$C$1:$Z$1,0))="En proceso")+--(INDEX(NORMATIVOS!$C$148:$Z$148,1,MATCH($B$3,NORMATIVOS!$C$1:$Z$1,0))="En proceso")+--(INDEX(NORMATIVOS!$C$149:$Z$149,1,MATCH($B$3,NORMATIVOS!$C$1:$Z$1,0))="En proceso")+--(INDEX(NORMATIVOS!$C$150:$Z$150,1,MATCH($B$3,NORMATIVOS!$C$1:$Z$1,0))="En proceso")</f>
        <v>0</v>
      </c>
      <c r="G15">
        <f>--(INDEX(NORMATIVOS!$C$144:$Z$144,1,MATCH($B$3,NORMATIVOS!$C$1:$Z$1,0))="Proyección")+--(INDEX(NORMATIVOS!$C$145:$Z$145,1,MATCH($B$3,NORMATIVOS!$C$1:$Z$1,0))="Proyección")+--(INDEX(NORMATIVOS!$C$146:$Z$146,1,MATCH($B$3,NORMATIVOS!$C$1:$Z$1,0))="Proyección")+--(INDEX(NORMATIVOS!$C$147:$Z$147,1,MATCH($B$3,NORMATIVOS!$C$1:$Z$1,0))="Proyección")+--(INDEX(NORMATIVOS!$C$148:$Z$148,1,MATCH($B$3,NORMATIVOS!$C$1:$Z$1,0))="Proyección")+--(INDEX(NORMATIVOS!$C$149:$Z$149,1,MATCH($B$3,NORMATIVOS!$C$1:$Z$1,0))="Proyección")+--(INDEX(NORMATIVOS!$C$150:$Z$150,1,MATCH($B$3,NORMATIVOS!$C$1:$Z$1,0))="Proyección")</f>
        <v>0</v>
      </c>
      <c r="H15" s="15">
        <f t="shared" si="0"/>
        <v>1</v>
      </c>
    </row>
    <row r="16" spans="1:8" x14ac:dyDescent="0.2">
      <c r="D16" t="s">
        <v>150</v>
      </c>
      <c r="E16">
        <f>--(INDEX(NORMATIVOS!$C$151:$Z$151,1,MATCH($B$3,NORMATIVOS!$C$1:$Z$1,0))="Consolidado")+--(INDEX(NORMATIVOS!$C$152:$Z$152,1,MATCH($B$3,NORMATIVOS!$C$1:$Z$1,0))="Consolidado")+--(INDEX(NORMATIVOS!$C$153:$Z$153,1,MATCH($B$3,NORMATIVOS!$C$1:$Z$1,0))="Consolidado")+--(INDEX(NORMATIVOS!$C$154:$Z$154,1,MATCH($B$3,NORMATIVOS!$C$1:$Z$1,0))="Consolidado")+--(INDEX(NORMATIVOS!$C$155:$Z$155,1,MATCH($B$3,NORMATIVOS!$C$1:$Z$1,0))="Consolidado")+--(INDEX(NORMATIVOS!$C$156:$Z$156,1,MATCH($B$3,NORMATIVOS!$C$1:$Z$1,0))="Consolidado")+--(INDEX(NORMATIVOS!$C$157:$Z$157,1,MATCH($B$3,NORMATIVOS!$C$1:$Z$1,0))="Consolidado")+--(INDEX(NORMATIVOS!$C$158:$Z$158,1,MATCH($B$3,NORMATIVOS!$C$1:$Z$1,0))="Consolidado")+--(INDEX(NORMATIVOS!$C$159:$Z$159,1,MATCH($B$3,NORMATIVOS!$C$1:$Z$1,0))="Consolidado")+--(INDEX(NORMATIVOS!$C$160:$Z$160,1,MATCH($B$3,NORMATIVOS!$C$1:$Z$1,0))="Consolidado")+--(INDEX(NORMATIVOS!$C$161:$Z$161,1,MATCH($B$3,NORMATIVOS!$C$1:$Z$1,0))="Consolidado")+--(INDEX(NORMATIVOS!$C$162:$Z$162,1,MATCH($B$3,NORMATIVOS!$C$1:$Z$1,0))="Consolidado")+--(INDEX(NORMATIVOS!$C$163:$Z$163,1,MATCH($B$3,NORMATIVOS!$C$1:$Z$1,0))="Consolidado")+--(INDEX(NORMATIVOS!$C$164:$Z$164,1,MATCH($B$3,NORMATIVOS!$C$1:$Z$1,0))="Consolidado")+--(INDEX(NORMATIVOS!$C$165:$Z$165,1,MATCH($B$3,NORMATIVOS!$C$1:$Z$1,0))="Consolidado")+--(INDEX(NORMATIVOS!$C$166:$Z$166,1,MATCH($B$3,NORMATIVOS!$C$1:$Z$1,0))="Consolidado")+--(INDEX(NORMATIVOS!$C$167:$Z$167,1,MATCH($B$3,NORMATIVOS!$C$1:$Z$1,0))="Consolidado")+--(INDEX(NORMATIVOS!$C$168:$Z$168,1,MATCH($B$3,NORMATIVOS!$C$1:$Z$1,0))="Consolidado")+--(INDEX(NORMATIVOS!$C$169:$Z$169,1,MATCH($B$3,NORMATIVOS!$C$1:$Z$1,0))="Consolidado")+--(INDEX(NORMATIVOS!$C$170:$Z$170,1,MATCH($B$3,NORMATIVOS!$C$1:$Z$1,0))="Consolidado")+--(INDEX(NORMATIVOS!$C$171:$Z$171,1,MATCH($B$3,NORMATIVOS!$C$1:$Z$1,0))="Consolidado")+--(INDEX(NORMATIVOS!$C$172:$Z$172,1,MATCH($B$3,NORMATIVOS!$C$1:$Z$1,0))="Consolidado")</f>
        <v>4</v>
      </c>
      <c r="F16">
        <f>--(INDEX(NORMATIVOS!$C$151:$Z$151,1,MATCH($B$3,NORMATIVOS!$C$1:$Z$1,0))="En proceso")+--(INDEX(NORMATIVOS!$C$152:$Z$152,1,MATCH($B$3,NORMATIVOS!$C$1:$Z$1,0))="En proceso")+--(INDEX(NORMATIVOS!$C$153:$Z$153,1,MATCH($B$3,NORMATIVOS!$C$1:$Z$1,0))="En proceso")+--(INDEX(NORMATIVOS!$C$154:$Z$154,1,MATCH($B$3,NORMATIVOS!$C$1:$Z$1,0))="En proceso")+--(INDEX(NORMATIVOS!$C$155:$Z$155,1,MATCH($B$3,NORMATIVOS!$C$1:$Z$1,0))="En proceso")+--(INDEX(NORMATIVOS!$C$156:$Z$156,1,MATCH($B$3,NORMATIVOS!$C$1:$Z$1,0))="En proceso")+--(INDEX(NORMATIVOS!$C$157:$Z$157,1,MATCH($B$3,NORMATIVOS!$C$1:$Z$1,0))="En proceso")+--(INDEX(NORMATIVOS!$C$158:$Z$158,1,MATCH($B$3,NORMATIVOS!$C$1:$Z$1,0))="En proceso")+--(INDEX(NORMATIVOS!$C$159:$Z$159,1,MATCH($B$3,NORMATIVOS!$C$1:$Z$1,0))="En proceso")+--(INDEX(NORMATIVOS!$C$160:$Z$160,1,MATCH($B$3,NORMATIVOS!$C$1:$Z$1,0))="En proceso")+--(INDEX(NORMATIVOS!$C$161:$Z$161,1,MATCH($B$3,NORMATIVOS!$C$1:$Z$1,0))="En proceso")+--(INDEX(NORMATIVOS!$C$162:$Z$162,1,MATCH($B$3,NORMATIVOS!$C$1:$Z$1,0))="En proceso")+--(INDEX(NORMATIVOS!$C$163:$Z$163,1,MATCH($B$3,NORMATIVOS!$C$1:$Z$1,0))="En proceso")+--(INDEX(NORMATIVOS!$C$164:$Z$164,1,MATCH($B$3,NORMATIVOS!$C$1:$Z$1,0))="En proceso")+--(INDEX(NORMATIVOS!$C$165:$Z$165,1,MATCH($B$3,NORMATIVOS!$C$1:$Z$1,0))="En proceso")+--(INDEX(NORMATIVOS!$C$166:$Z$166,1,MATCH($B$3,NORMATIVOS!$C$1:$Z$1,0))="En proceso")+--(INDEX(NORMATIVOS!$C$167:$Z$167,1,MATCH($B$3,NORMATIVOS!$C$1:$Z$1,0))="En proceso")+--(INDEX(NORMATIVOS!$C$168:$Z$168,1,MATCH($B$3,NORMATIVOS!$C$1:$Z$1,0))="En proceso")+--(INDEX(NORMATIVOS!$C$169:$Z$169,1,MATCH($B$3,NORMATIVOS!$C$1:$Z$1,0))="En proceso")+--(INDEX(NORMATIVOS!$C$170:$Z$170,1,MATCH($B$3,NORMATIVOS!$C$1:$Z$1,0))="En proceso")+--(INDEX(NORMATIVOS!$C$171:$Z$171,1,MATCH($B$3,NORMATIVOS!$C$1:$Z$1,0))="En proceso")+--(INDEX(NORMATIVOS!$C$172:$Z$172,1,MATCH($B$3,NORMATIVOS!$C$1:$Z$1,0))="En proceso")</f>
        <v>3</v>
      </c>
      <c r="G16">
        <f>--(INDEX(NORMATIVOS!$C$151:$Z$151,1,MATCH($B$3,NORMATIVOS!$C$1:$Z$1,0))="Proyección")+--(INDEX(NORMATIVOS!$C$152:$Z$152,1,MATCH($B$3,NORMATIVOS!$C$1:$Z$1,0))="Proyección")+--(INDEX(NORMATIVOS!$C$153:$Z$153,1,MATCH($B$3,NORMATIVOS!$C$1:$Z$1,0))="Proyección")+--(INDEX(NORMATIVOS!$C$154:$Z$154,1,MATCH($B$3,NORMATIVOS!$C$1:$Z$1,0))="Proyección")+--(INDEX(NORMATIVOS!$C$155:$Z$155,1,MATCH($B$3,NORMATIVOS!$C$1:$Z$1,0))="Proyección")+--(INDEX(NORMATIVOS!$C$156:$Z$156,1,MATCH($B$3,NORMATIVOS!$C$1:$Z$1,0))="Proyección")+--(INDEX(NORMATIVOS!$C$157:$Z$157,1,MATCH($B$3,NORMATIVOS!$C$1:$Z$1,0))="Proyección")+--(INDEX(NORMATIVOS!$C$158:$Z$158,1,MATCH($B$3,NORMATIVOS!$C$1:$Z$1,0))="Proyección")+--(INDEX(NORMATIVOS!$C$159:$Z$159,1,MATCH($B$3,NORMATIVOS!$C$1:$Z$1,0))="Proyección")+--(INDEX(NORMATIVOS!$C$160:$Z$160,1,MATCH($B$3,NORMATIVOS!$C$1:$Z$1,0))="Proyección")+--(INDEX(NORMATIVOS!$C$161:$Z$161,1,MATCH($B$3,NORMATIVOS!$C$1:$Z$1,0))="Proyección")+--(INDEX(NORMATIVOS!$C$162:$Z$162,1,MATCH($B$3,NORMATIVOS!$C$1:$Z$1,0))="Proyección")+--(INDEX(NORMATIVOS!$C$163:$Z$163,1,MATCH($B$3,NORMATIVOS!$C$1:$Z$1,0))="Proyección")+--(INDEX(NORMATIVOS!$C$164:$Z$164,1,MATCH($B$3,NORMATIVOS!$C$1:$Z$1,0))="Proyección")+--(INDEX(NORMATIVOS!$C$165:$Z$165,1,MATCH($B$3,NORMATIVOS!$C$1:$Z$1,0))="Proyección")+--(INDEX(NORMATIVOS!$C$166:$Z$166,1,MATCH($B$3,NORMATIVOS!$C$1:$Z$1,0))="Proyección")+--(INDEX(NORMATIVOS!$C$167:$Z$167,1,MATCH($B$3,NORMATIVOS!$C$1:$Z$1,0))="Proyección")+--(INDEX(NORMATIVOS!$C$168:$Z$168,1,MATCH($B$3,NORMATIVOS!$C$1:$Z$1,0))="Proyección")+--(INDEX(NORMATIVOS!$C$169:$Z$169,1,MATCH($B$3,NORMATIVOS!$C$1:$Z$1,0))="Proyección")+--(INDEX(NORMATIVOS!$C$170:$Z$170,1,MATCH($B$3,NORMATIVOS!$C$1:$Z$1,0))="Proyección")+--(INDEX(NORMATIVOS!$C$171:$Z$171,1,MATCH($B$3,NORMATIVOS!$C$1:$Z$1,0))="Proyección")+--(INDEX(NORMATIVOS!$C$172:$Z$172,1,MATCH($B$3,NORMATIVOS!$C$1:$Z$1,0))="Proyección")</f>
        <v>15</v>
      </c>
      <c r="H16" s="15">
        <f t="shared" si="0"/>
        <v>0.18181818181818182</v>
      </c>
    </row>
    <row r="17" spans="1:8" x14ac:dyDescent="0.2">
      <c r="D17" t="s">
        <v>278</v>
      </c>
      <c r="E17">
        <f>--(INDEX(NORMATIVOS!$C$175:$Z$175,1,MATCH($B$3,NORMATIVOS!$C$1:$Z$1,0))="Consolidado")+--(INDEX(NORMATIVOS!$C$176:$Z$176,1,MATCH($B$3,NORMATIVOS!$C$1:$Z$1,0))="Consolidado")+--(INDEX(NORMATIVOS!$C$177:$Z$177,1,MATCH($B$3,NORMATIVOS!$C$1:$Z$1,0))="Consolidado")+--(INDEX(NORMATIVOS!$C$178:$Z$178,1,MATCH($B$3,NORMATIVOS!$C$1:$Z$1,0))="Consolidado")+--(INDEX(NORMATIVOS!$C$179:$Z$179,1,MATCH($B$3,NORMATIVOS!$C$1:$Z$1,0))="Consolidado")+--(INDEX(NORMATIVOS!$C$180:$Z$180,1,MATCH($B$3,NORMATIVOS!$C$1:$Z$1,0))="Consolidado")+--(INDEX(NORMATIVOS!$C$181:$Z$181,1,MATCH($B$3,NORMATIVOS!$C$1:$Z$1,0))="Consolidado")+--(INDEX(NORMATIVOS!$C$182:$Z$182,1,MATCH($B$3,NORMATIVOS!$C$1:$Z$1,0))="Consolidado")+--(INDEX(NORMATIVOS!$C$183:$Z$183,1,MATCH($B$3,NORMATIVOS!$C$1:$Z$1,0))="Consolidado")+--(INDEX(NORMATIVOS!$C$184:$Z$184,1,MATCH($B$3,NORMATIVOS!$C$1:$Z$1,0))="Consolidado")+--(INDEX(NORMATIVOS!$C$185:$Z$185,1,MATCH($B$3,NORMATIVOS!$C$1:$Z$1,0))="Consolidado")+--(INDEX(NORMATIVOS!$C$186:$Z$186,1,MATCH($B$3,NORMATIVOS!$C$1:$Z$1,0))="Consolidado")+--(INDEX(NORMATIVOS!$C$187:$Z$187,1,MATCH($B$3,NORMATIVOS!$C$1:$Z$1,0))="Consolidado")+--(INDEX(NORMATIVOS!$C$188:$Z$188,1,MATCH($B$3,NORMATIVOS!$C$1:$Z$1,0))="Consolidado")+--(INDEX(NORMATIVOS!$C$189:$Z$189,1,MATCH($B$3,NORMATIVOS!$C$1:$Z$1,0))="Consolidado")+--(INDEX(NORMATIVOS!$C$190:$Z$190,1,MATCH($B$3,NORMATIVOS!$C$1:$Z$1,0))="Consolidado")+--(INDEX(NORMATIVOS!$C$191:$Z$191,1,MATCH($B$3,NORMATIVOS!$C$1:$Z$1,0))="Consolidado")+--(INDEX(NORMATIVOS!$C$192:$Z$192,1,MATCH($B$3,NORMATIVOS!$C$1:$Z$1,0))="Consolidado")</f>
        <v>9</v>
      </c>
      <c r="F17">
        <f>--(INDEX(NORMATIVOS!$C$175:$Z$175,1,MATCH($B$3,NORMATIVOS!$C$1:$Z$1,0))="En proceso")+--(INDEX(NORMATIVOS!$C$176:$Z$176,1,MATCH($B$3,NORMATIVOS!$C$1:$Z$1,0))="En proceso")+--(INDEX(NORMATIVOS!$C$177:$Z$177,1,MATCH($B$3,NORMATIVOS!$C$1:$Z$1,0))="En proceso")+--(INDEX(NORMATIVOS!$C$178:$Z$178,1,MATCH($B$3,NORMATIVOS!$C$1:$Z$1,0))="En proceso")+--(INDEX(NORMATIVOS!$C$179:$Z$179,1,MATCH($B$3,NORMATIVOS!$C$1:$Z$1,0))="En proceso")+--(INDEX(NORMATIVOS!$C$180:$Z$180,1,MATCH($B$3,NORMATIVOS!$C$1:$Z$1,0))="En proceso")+--(INDEX(NORMATIVOS!$C$181:$Z$181,1,MATCH($B$3,NORMATIVOS!$C$1:$Z$1,0))="En proceso")+--(INDEX(NORMATIVOS!$C$182:$Z$182,1,MATCH($B$3,NORMATIVOS!$C$1:$Z$1,0))="En proceso")+--(INDEX(NORMATIVOS!$C$183:$Z$183,1,MATCH($B$3,NORMATIVOS!$C$1:$Z$1,0))="En proceso")+--(INDEX(NORMATIVOS!$C$184:$Z$184,1,MATCH($B$3,NORMATIVOS!$C$1:$Z$1,0))="En proceso")+--(INDEX(NORMATIVOS!$C$185:$Z$185,1,MATCH($B$3,NORMATIVOS!$C$1:$Z$1,0))="En proceso")+--(INDEX(NORMATIVOS!$C$186:$Z$186,1,MATCH($B$3,NORMATIVOS!$C$1:$Z$1,0))="En proceso")+--(INDEX(NORMATIVOS!$C$187:$Z$187,1,MATCH($B$3,NORMATIVOS!$C$1:$Z$1,0))="En proceso")+--(INDEX(NORMATIVOS!$C$188:$Z$188,1,MATCH($B$3,NORMATIVOS!$C$1:$Z$1,0))="En proceso")+--(INDEX(NORMATIVOS!$C$189:$Z$189,1,MATCH($B$3,NORMATIVOS!$C$1:$Z$1,0))="En proceso")+--(INDEX(NORMATIVOS!$C$190:$Z$190,1,MATCH($B$3,NORMATIVOS!$C$1:$Z$1,0))="En proceso")+--(INDEX(NORMATIVOS!$C$191:$Z$191,1,MATCH($B$3,NORMATIVOS!$C$1:$Z$1,0))="En proceso")+--(INDEX(NORMATIVOS!$C$192:$Z$192,1,MATCH($B$3,NORMATIVOS!$C$1:$Z$1,0))="En proceso")</f>
        <v>0</v>
      </c>
      <c r="G17">
        <f>--(INDEX(NORMATIVOS!$C$175:$Z$175,1,MATCH($B$3,NORMATIVOS!$C$1:$Z$1,0))="Proyección")+--(INDEX(NORMATIVOS!$C$176:$Z$176,1,MATCH($B$3,NORMATIVOS!$C$1:$Z$1,0))="Proyección")+--(INDEX(NORMATIVOS!$C$177:$Z$177,1,MATCH($B$3,NORMATIVOS!$C$1:$Z$1,0))="Proyección")+--(INDEX(NORMATIVOS!$C$178:$Z$178,1,MATCH($B$3,NORMATIVOS!$C$1:$Z$1,0))="Proyección")+--(INDEX(NORMATIVOS!$C$179:$Z$179,1,MATCH($B$3,NORMATIVOS!$C$1:$Z$1,0))="Proyección")+--(INDEX(NORMATIVOS!$C$180:$Z$180,1,MATCH($B$3,NORMATIVOS!$C$1:$Z$1,0))="Proyección")+--(INDEX(NORMATIVOS!$C$181:$Z$181,1,MATCH($B$3,NORMATIVOS!$C$1:$Z$1,0))="Proyección")+--(INDEX(NORMATIVOS!$C$182:$Z$182,1,MATCH($B$3,NORMATIVOS!$C$1:$Z$1,0))="Proyección")+--(INDEX(NORMATIVOS!$C$183:$Z$183,1,MATCH($B$3,NORMATIVOS!$C$1:$Z$1,0))="Proyección")+--(INDEX(NORMATIVOS!$C$184:$Z$184,1,MATCH($B$3,NORMATIVOS!$C$1:$Z$1,0))="Proyección")+--(INDEX(NORMATIVOS!$C$185:$Z$185,1,MATCH($B$3,NORMATIVOS!$C$1:$Z$1,0))="Proyección")+--(INDEX(NORMATIVOS!$C$186:$Z$186,1,MATCH($B$3,NORMATIVOS!$C$1:$Z$1,0))="Proyección")+--(INDEX(NORMATIVOS!$C$187:$Z$187,1,MATCH($B$3,NORMATIVOS!$C$1:$Z$1,0))="Proyección")+--(INDEX(NORMATIVOS!$C$188:$Z$188,1,MATCH($B$3,NORMATIVOS!$C$1:$Z$1,0))="Proyección")+--(INDEX(NORMATIVOS!$C$189:$Z$189,1,MATCH($B$3,NORMATIVOS!$C$1:$Z$1,0))="Proyección")+--(INDEX(NORMATIVOS!$C$190:$Z$190,1,MATCH($B$3,NORMATIVOS!$C$1:$Z$1,0))="Proyección")+--(INDEX(NORMATIVOS!$C$191:$Z$191,1,MATCH($B$3,NORMATIVOS!$C$1:$Z$1,0))="Proyección")+--(INDEX(NORMATIVOS!$C$192:$Z$192,1,MATCH($B$3,NORMATIVOS!$C$1:$Z$1,0))="Proyección")</f>
        <v>9</v>
      </c>
      <c r="H17" s="15">
        <f t="shared" si="0"/>
        <v>0.5</v>
      </c>
    </row>
    <row r="18" spans="1:8" x14ac:dyDescent="0.2">
      <c r="D18" t="s">
        <v>190</v>
      </c>
      <c r="E18">
        <f>--(INDEX(NORMATIVOS!$C$193:$Z$193,1,MATCH($B$3,NORMATIVOS!$C$1:$Z$1,0))="Consolidado")+--(INDEX(NORMATIVOS!$C$194:$Z$194,1,MATCH($B$3,NORMATIVOS!$C$1:$Z$1,0))="Consolidado")+--(INDEX(NORMATIVOS!$C$195:$Z$195,1,MATCH($B$3,NORMATIVOS!$C$1:$Z$1,0))="Consolidado")+--(INDEX(NORMATIVOS!$C$196:$Z$196,1,MATCH($B$3,NORMATIVOS!$C$1:$Z$1,0))="Consolidado")+--(INDEX(NORMATIVOS!$C$197:$Z$197,1,MATCH($B$3,NORMATIVOS!$C$1:$Z$1,0))="Consolidado")+--(INDEX(NORMATIVOS!$C$198:$Z$198,1,MATCH($B$3,NORMATIVOS!$C$1:$Z$1,0))="Consolidado")+--(INDEX(NORMATIVOS!$C$199:$Z$199,1,MATCH($B$3,NORMATIVOS!$C$1:$Z$1,0))="Consolidado")+--(INDEX(NORMATIVOS!$C$200:$Z$200,1,MATCH($B$3,NORMATIVOS!$C$1:$Z$1,0))="Consolidado")+--(INDEX(NORMATIVOS!$C$201:$Z$201,1,MATCH($B$3,NORMATIVOS!$C$1:$Z$1,0))="Consolidado")+--(INDEX(NORMATIVOS!$C$202:$Z$202,1,MATCH($B$3,NORMATIVOS!$C$1:$Z$1,0))="Consolidado")+--(INDEX(NORMATIVOS!$C$203:$Z$203,1,MATCH($B$3,NORMATIVOS!$C$1:$Z$1,0))="Consolidado")+--(INDEX(NORMATIVOS!$C$204:$Z$204,1,MATCH($B$3,NORMATIVOS!$C$1:$Z$1,0))="Consolidado")+--(INDEX(NORMATIVOS!$C$205:$Z$205,1,MATCH($B$3,NORMATIVOS!$C$1:$Z$1,0))="Consolidado")+--(INDEX(NORMATIVOS!$C$206:$Z$206,1,MATCH($B$3,NORMATIVOS!$C$1:$Z$1,0))="Consolidado")+--(INDEX(NORMATIVOS!$C$207:$Z$207,1,MATCH($B$3,NORMATIVOS!$C$1:$Z$1,0))="Consolidado")+--(INDEX(NORMATIVOS!$C$208:$Z$208,1,MATCH($B$3,NORMATIVOS!$C$1:$Z$1,0))="Consolidado")+--(INDEX(NORMATIVOS!$C$209:$Z$209,1,MATCH($B$3,NORMATIVOS!$C$1:$Z$1,0))="Consolidado")+--(INDEX(NORMATIVOS!$C$210:$Z$210,1,MATCH($B$3,NORMATIVOS!$C$1:$Z$1,0))="Consolidado")+--(INDEX(NORMATIVOS!$C$211:$Z$211,1,MATCH($B$3,NORMATIVOS!$C$1:$Z$1,0))="Consolidado")+--(INDEX(NORMATIVOS!$C$212:$Z$212,1,MATCH($B$3,NORMATIVOS!$C$1:$Z$1,0))="Consolidado")+--(INDEX(NORMATIVOS!$C$213:$Z$213,1,MATCH($B$3,NORMATIVOS!$C$1:$Z$1,0))="Consolidado")+--(INDEX(NORMATIVOS!$C$214:$Z$214,1,MATCH($B$3,NORMATIVOS!$C$1:$Z$1,0))="Consolidado")+--(INDEX(NORMATIVOS!$C$215:$Z$215,1,MATCH($B$3,NORMATIVOS!$C$1:$Z$1,0))="Consolidado")+--(INDEX(NORMATIVOS!$C$216:$Z$216,1,MATCH($B$3,NORMATIVOS!$C$1:$Z$1,0))="Consolidado")</f>
        <v>11</v>
      </c>
      <c r="F18">
        <f>--(INDEX(NORMATIVOS!$C$193:$Z$193,1,MATCH($B$3,NORMATIVOS!$C$1:$Z$1,0))="En proceso")+--(INDEX(NORMATIVOS!$C$194:$Z$194,1,MATCH($B$3,NORMATIVOS!$C$1:$Z$1,0))="En proceso")+--(INDEX(NORMATIVOS!$C$195:$Z$195,1,MATCH($B$3,NORMATIVOS!$C$1:$Z$1,0))="En proceso")+--(INDEX(NORMATIVOS!$C$196:$Z$196,1,MATCH($B$3,NORMATIVOS!$C$1:$Z$1,0))="En proceso")+--(INDEX(NORMATIVOS!$C$197:$Z$197,1,MATCH($B$3,NORMATIVOS!$C$1:$Z$1,0))="En proceso")+--(INDEX(NORMATIVOS!$C$198:$Z$198,1,MATCH($B$3,NORMATIVOS!$C$1:$Z$1,0))="En proceso")+--(INDEX(NORMATIVOS!$C$199:$Z$199,1,MATCH($B$3,NORMATIVOS!$C$1:$Z$1,0))="En proceso")+--(INDEX(NORMATIVOS!$C$200:$Z$200,1,MATCH($B$3,NORMATIVOS!$C$1:$Z$1,0))="En proceso")+--(INDEX(NORMATIVOS!$C$201:$Z$201,1,MATCH($B$3,NORMATIVOS!$C$1:$Z$1,0))="En proceso")+--(INDEX(NORMATIVOS!$C$202:$Z$202,1,MATCH($B$3,NORMATIVOS!$C$1:$Z$1,0))="En proceso")+--(INDEX(NORMATIVOS!$C$203:$Z$203,1,MATCH($B$3,NORMATIVOS!$C$1:$Z$1,0))="En proceso")+--(INDEX(NORMATIVOS!$C$204:$Z$204,1,MATCH($B$3,NORMATIVOS!$C$1:$Z$1,0))="En proceso")+--(INDEX(NORMATIVOS!$C$205:$Z$205,1,MATCH($B$3,NORMATIVOS!$C$1:$Z$1,0))="En proceso")+--(INDEX(NORMATIVOS!$C$206:$Z$206,1,MATCH($B$3,NORMATIVOS!$C$1:$Z$1,0))="En proceso")+--(INDEX(NORMATIVOS!$C$207:$Z$207,1,MATCH($B$3,NORMATIVOS!$C$1:$Z$1,0))="En proceso")+--(INDEX(NORMATIVOS!$C$208:$Z$208,1,MATCH($B$3,NORMATIVOS!$C$1:$Z$1,0))="En proceso")+--(INDEX(NORMATIVOS!$C$209:$Z$209,1,MATCH($B$3,NORMATIVOS!$C$1:$Z$1,0))="En proceso")+--(INDEX(NORMATIVOS!$C$210:$Z$210,1,MATCH($B$3,NORMATIVOS!$C$1:$Z$1,0))="En proceso")+--(INDEX(NORMATIVOS!$C$211:$Z$211,1,MATCH($B$3,NORMATIVOS!$C$1:$Z$1,0))="En proceso")+--(INDEX(NORMATIVOS!$C$212:$Z$212,1,MATCH($B$3,NORMATIVOS!$C$1:$Z$1,0))="En proceso")+--(INDEX(NORMATIVOS!$C$213:$Z$213,1,MATCH($B$3,NORMATIVOS!$C$1:$Z$1,0))="En proceso")+--(INDEX(NORMATIVOS!$C$214:$Z$214,1,MATCH($B$3,NORMATIVOS!$C$1:$Z$1,0))="En proceso")+--(INDEX(NORMATIVOS!$C$215:$Z$215,1,MATCH($B$3,NORMATIVOS!$C$1:$Z$1,0))="En proceso")+--(INDEX(NORMATIVOS!$C$216:$Z$216,1,MATCH($B$3,NORMATIVOS!$C$1:$Z$1,0))="En proceso")</f>
        <v>2</v>
      </c>
      <c r="G18">
        <f>--(INDEX(NORMATIVOS!$C$193:$Z$193,1,MATCH($B$3,NORMATIVOS!$C$1:$Z$1,0))="Proyección")+--(INDEX(NORMATIVOS!$C$194:$Z$194,1,MATCH($B$3,NORMATIVOS!$C$1:$Z$1,0))="Proyección")+--(INDEX(NORMATIVOS!$C$195:$Z$195,1,MATCH($B$3,NORMATIVOS!$C$1:$Z$1,0))="Proyección")+--(INDEX(NORMATIVOS!$C$196:$Z$196,1,MATCH($B$3,NORMATIVOS!$C$1:$Z$1,0))="Proyección")+--(INDEX(NORMATIVOS!$C$197:$Z$197,1,MATCH($B$3,NORMATIVOS!$C$1:$Z$1,0))="Proyección")+--(INDEX(NORMATIVOS!$C$198:$Z$198,1,MATCH($B$3,NORMATIVOS!$C$1:$Z$1,0))="Proyección")+--(INDEX(NORMATIVOS!$C$199:$Z$199,1,MATCH($B$3,NORMATIVOS!$C$1:$Z$1,0))="Proyección")+--(INDEX(NORMATIVOS!$C$200:$Z$200,1,MATCH($B$3,NORMATIVOS!$C$1:$Z$1,0))="Proyección")+--(INDEX(NORMATIVOS!$C$201:$Z$201,1,MATCH($B$3,NORMATIVOS!$C$1:$Z$1,0))="Proyección")+--(INDEX(NORMATIVOS!$C$202:$Z$202,1,MATCH($B$3,NORMATIVOS!$C$1:$Z$1,0))="Proyección")+--(INDEX(NORMATIVOS!$C$203:$Z$203,1,MATCH($B$3,NORMATIVOS!$C$1:$Z$1,0))="Proyección")+--(INDEX(NORMATIVOS!$C$204:$Z$204,1,MATCH($B$3,NORMATIVOS!$C$1:$Z$1,0))="Proyección")+--(INDEX(NORMATIVOS!$C$205:$Z$205,1,MATCH($B$3,NORMATIVOS!$C$1:$Z$1,0))="Proyección")+--(INDEX(NORMATIVOS!$C$206:$Z$206,1,MATCH($B$3,NORMATIVOS!$C$1:$Z$1,0))="Proyección")+--(INDEX(NORMATIVOS!$C$207:$Z$207,1,MATCH($B$3,NORMATIVOS!$C$1:$Z$1,0))="Proyección")+--(INDEX(NORMATIVOS!$C$208:$Z$208,1,MATCH($B$3,NORMATIVOS!$C$1:$Z$1,0))="Proyección")+--(INDEX(NORMATIVOS!$C$209:$Z$209,1,MATCH($B$3,NORMATIVOS!$C$1:$Z$1,0))="Proyección")+--(INDEX(NORMATIVOS!$C$210:$Z$210,1,MATCH($B$3,NORMATIVOS!$C$1:$Z$1,0))="Proyección")+--(INDEX(NORMATIVOS!$C$211:$Z$211,1,MATCH($B$3,NORMATIVOS!$C$1:$Z$1,0))="Proyección")+--(INDEX(NORMATIVOS!$C$212:$Z$212,1,MATCH($B$3,NORMATIVOS!$C$1:$Z$1,0))="Proyección")+--(INDEX(NORMATIVOS!$C$213:$Z$213,1,MATCH($B$3,NORMATIVOS!$C$1:$Z$1,0))="Proyección")+--(INDEX(NORMATIVOS!$C$214:$Z$214,1,MATCH($B$3,NORMATIVOS!$C$1:$Z$1,0))="Proyección")+--(INDEX(NORMATIVOS!$C$215:$Z$215,1,MATCH($B$3,NORMATIVOS!$C$1:$Z$1,0))="Proyección")+--(INDEX(NORMATIVOS!$C$216:$Z$216,1,MATCH($B$3,NORMATIVOS!$C$1:$Z$1,0))="Proyección")</f>
        <v>11</v>
      </c>
      <c r="H18" s="15">
        <f t="shared" si="0"/>
        <v>0.45833333333333331</v>
      </c>
    </row>
    <row r="19" spans="1:8" x14ac:dyDescent="0.2">
      <c r="D19" t="s">
        <v>212</v>
      </c>
      <c r="E19">
        <f>--(INDEX(NORMATIVOS!$C$217:$Z$217,1,MATCH($B$3,NORMATIVOS!$C$1:$Z$1,0))="Consolidado")+--(INDEX(NORMATIVOS!$C$218:$Z$218,1,MATCH($B$3,NORMATIVOS!$C$1:$Z$1,0))="Consolidado")+--(INDEX(NORMATIVOS!$C$219:$Z$219,1,MATCH($B$3,NORMATIVOS!$C$1:$Z$1,0))="Consolidado")+--(INDEX(NORMATIVOS!$C$220:$Z$220,1,MATCH($B$3,NORMATIVOS!$C$1:$Z$1,0))="Consolidado")+--(INDEX(NORMATIVOS!$C$221:$Z$221,1,MATCH($B$3,NORMATIVOS!$C$1:$Z$1,0))="Consolidado")+--(INDEX(NORMATIVOS!$C$222:$Z$222,1,MATCH($B$3,NORMATIVOS!$C$1:$Z$1,0))="Consolidado")+--(INDEX(NORMATIVOS!$C$223:$Z$223,1,MATCH($B$3,NORMATIVOS!$C$1:$Z$1,0))="Consolidado")+--(INDEX(NORMATIVOS!$C$224:$Z$224,1,MATCH($B$3,NORMATIVOS!$C$1:$Z$1,0))="Consolidado")+--(INDEX(NORMATIVOS!$C$225:$Z$225,1,MATCH($B$3,NORMATIVOS!$C$1:$Z$1,0))="Consolidado")+--(INDEX(NORMATIVOS!$C$226:$Z$226,1,MATCH($B$3,NORMATIVOS!$C$1:$Z$1,0))="Consolidado")+--(INDEX(NORMATIVOS!$C$227:$Z$227,1,MATCH($B$3,NORMATIVOS!$C$1:$Z$1,0))="Consolidado")+--(INDEX(NORMATIVOS!$C$228:$Z$228,1,MATCH($B$3,NORMATIVOS!$C$1:$Z$1,0))="Consolidado")+--(INDEX(NORMATIVOS!$C$229:$Z$229,1,MATCH($B$3,NORMATIVOS!$C$1:$Z$1,0))="Consolidado")</f>
        <v>3</v>
      </c>
      <c r="F19">
        <f>--(INDEX(NORMATIVOS!$C$217:$Z$217,1,MATCH($B$3,NORMATIVOS!$C$1:$Z$1,0))="En proceso")+--(INDEX(NORMATIVOS!$C$218:$Z$218,1,MATCH($B$3,NORMATIVOS!$C$1:$Z$1,0))="En proceso")+--(INDEX(NORMATIVOS!$C$219:$Z$219,1,MATCH($B$3,NORMATIVOS!$C$1:$Z$1,0))="En proceso")+--(INDEX(NORMATIVOS!$C$220:$Z$220,1,MATCH($B$3,NORMATIVOS!$C$1:$Z$1,0))="En proceso")+--(INDEX(NORMATIVOS!$C$221:$Z$221,1,MATCH($B$3,NORMATIVOS!$C$1:$Z$1,0))="En proceso")+--(INDEX(NORMATIVOS!$C$222:$Z$222,1,MATCH($B$3,NORMATIVOS!$C$1:$Z$1,0))="En proceso")+--(INDEX(NORMATIVOS!$C$223:$Z$223,1,MATCH($B$3,NORMATIVOS!$C$1:$Z$1,0))="En proceso")+--(INDEX(NORMATIVOS!$C$224:$Z$224,1,MATCH($B$3,NORMATIVOS!$C$1:$Z$1,0))="En proceso")+--(INDEX(NORMATIVOS!$C$225:$Z$225,1,MATCH($B$3,NORMATIVOS!$C$1:$Z$1,0))="En proceso")+--(INDEX(NORMATIVOS!$C$226:$Z$226,1,MATCH($B$3,NORMATIVOS!$C$1:$Z$1,0))="En proceso")+--(INDEX(NORMATIVOS!$C$227:$Z$227,1,MATCH($B$3,NORMATIVOS!$C$1:$Z$1,0))="En proceso")+--(INDEX(NORMATIVOS!$C$228:$Z$228,1,MATCH($B$3,NORMATIVOS!$C$1:$Z$1,0))="En proceso")+--(INDEX(NORMATIVOS!$C$229:$Z$229,1,MATCH($B$3,NORMATIVOS!$C$1:$Z$1,0))="En proceso")</f>
        <v>2</v>
      </c>
      <c r="G19">
        <f>--(INDEX(NORMATIVOS!$C$217:$Z$217,1,MATCH($B$3,NORMATIVOS!$C$1:$Z$1,0))="Proyección")+--(INDEX(NORMATIVOS!$C$218:$Z$218,1,MATCH($B$3,NORMATIVOS!$C$1:$Z$1,0))="Proyección")+--(INDEX(NORMATIVOS!$C$219:$Z$219,1,MATCH($B$3,NORMATIVOS!$C$1:$Z$1,0))="Proyección")+--(INDEX(NORMATIVOS!$C$220:$Z$220,1,MATCH($B$3,NORMATIVOS!$C$1:$Z$1,0))="Proyección")+--(INDEX(NORMATIVOS!$C$221:$Z$221,1,MATCH($B$3,NORMATIVOS!$C$1:$Z$1,0))="Proyección")+--(INDEX(NORMATIVOS!$C$222:$Z$222,1,MATCH($B$3,NORMATIVOS!$C$1:$Z$1,0))="Proyección")+--(INDEX(NORMATIVOS!$C$223:$Z$223,1,MATCH($B$3,NORMATIVOS!$C$1:$Z$1,0))="Proyección")+--(INDEX(NORMATIVOS!$C$224:$Z$224,1,MATCH($B$3,NORMATIVOS!$C$1:$Z$1,0))="Proyección")+--(INDEX(NORMATIVOS!$C$225:$Z$225,1,MATCH($B$3,NORMATIVOS!$C$1:$Z$1,0))="Proyección")+--(INDEX(NORMATIVOS!$C$226:$Z$226,1,MATCH($B$3,NORMATIVOS!$C$1:$Z$1,0))="Proyección")+--(INDEX(NORMATIVOS!$C$227:$Z$227,1,MATCH($B$3,NORMATIVOS!$C$1:$Z$1,0))="Proyección")+--(INDEX(NORMATIVOS!$C$228:$Z$228,1,MATCH($B$3,NORMATIVOS!$C$1:$Z$1,0))="Proyección")+--(INDEX(NORMATIVOS!$C$229:$Z$229,1,MATCH($B$3,NORMATIVOS!$C$1:$Z$1,0))="Proyección")</f>
        <v>8</v>
      </c>
      <c r="H19" s="15">
        <f t="shared" si="0"/>
        <v>0.23076923076923078</v>
      </c>
    </row>
    <row r="20" spans="1:8" x14ac:dyDescent="0.2">
      <c r="D20" t="s">
        <v>223</v>
      </c>
      <c r="E20">
        <f>--(INDEX(NORMATIVOS!$C$232:$Z$232,1,MATCH($B$3,NORMATIVOS!$C$1:$Z$1,0))="Consolidado")+--(INDEX(NORMATIVOS!$C$233:$Z$233,1,MATCH($B$3,NORMATIVOS!$C$1:$Z$1,0))="Consolidado")+--(INDEX(NORMATIVOS!$C$234:$Z$234,1,MATCH($B$3,NORMATIVOS!$C$1:$Z$1,0))="Consolidado")+--(INDEX(NORMATIVOS!$C$235:$Z$235,1,MATCH($B$3,NORMATIVOS!$C$1:$Z$1,0))="Consolidado")+--(INDEX(NORMATIVOS!$C$236:$Z$236,1,MATCH($B$3,NORMATIVOS!$C$1:$Z$1,0))="Consolidado")+--(INDEX(NORMATIVOS!$C$237:$Z$237,1,MATCH($B$3,NORMATIVOS!$C$1:$Z$1,0))="Consolidado")+--(INDEX(NORMATIVOS!$C$238:$Z$238,1,MATCH($B$3,NORMATIVOS!$C$1:$Z$1,0))="Consolidado")+--(INDEX(NORMATIVOS!$C$239:$Z$239,1,MATCH($B$3,NORMATIVOS!$C$1:$Z$1,0))="Consolidado")+--(INDEX(NORMATIVOS!$C$240:$Z$240,1,MATCH($B$3,NORMATIVOS!$C$1:$Z$1,0))="Consolidado")+--(INDEX(NORMATIVOS!$C$241:$Z$241,1,MATCH($B$3,NORMATIVOS!$C$1:$Z$1,0))="Consolidado")+--(INDEX(NORMATIVOS!$C$242:$Z$242,1,MATCH($B$3,NORMATIVOS!$C$1:$Z$1,0))="Consolidado")+--(INDEX(NORMATIVOS!$C$243:$Z$243,1,MATCH($B$3,NORMATIVOS!$C$1:$Z$1,0))="Consolidado")+--(INDEX(NORMATIVOS!$C$244:$Z$244,1,MATCH($B$3,NORMATIVOS!$C$1:$Z$1,0))="Consolidado")+--(INDEX(NORMATIVOS!$C$245:$Z$245,1,MATCH($B$3,NORMATIVOS!$C$1:$Z$1,0))="Consolidado")+--(INDEX(NORMATIVOS!$C$246:$Z$246,1,MATCH($B$3,NORMATIVOS!$C$1:$Z$1,0))="Consolidado")+--(INDEX(NORMATIVOS!$C$247:$Z$247,1,MATCH($B$3,NORMATIVOS!$C$1:$Z$1,0))="Consolidado")+--(INDEX(NORMATIVOS!$C$248:$Z$248,1,MATCH($B$3,NORMATIVOS!$C$1:$Z$1,0))="Consolidado")+--(INDEX(NORMATIVOS!$C$249:$Z$249,1,MATCH($B$3,NORMATIVOS!$C$1:$Z$1,0))="Consolidado")+--(INDEX(NORMATIVOS!$C$250:$Z$250,1,MATCH($B$3,NORMATIVOS!$C$1:$Z$1,0))="Consolidado")+--(INDEX(NORMATIVOS!$C$251:$Z$251,1,MATCH($B$3,NORMATIVOS!$C$1:$Z$1,0))="Consolidado")+--(INDEX(NORMATIVOS!$C$252:$Z$252,1,MATCH($B$3,NORMATIVOS!$C$1:$Z$1,0))="Consolidado")+--(INDEX(NORMATIVOS!$C$253:$Z$253,1,MATCH($B$3,NORMATIVOS!$C$1:$Z$1,0))="Consolidado")+--(INDEX(NORMATIVOS!$C$254:$Z$254,1,MATCH($B$3,NORMATIVOS!$C$1:$Z$1,0))="Consolidado")+--(INDEX(NORMATIVOS!$C$255:$Z$255,1,MATCH($B$3,NORMATIVOS!$C$1:$Z$1,0))="Consolidado")+--(INDEX(NORMATIVOS!$C$256:$Z$256,1,MATCH($B$3,NORMATIVOS!$C$1:$Z$1,0))="Consolidado")+--(INDEX(NORMATIVOS!$C$257:$Z$257,1,MATCH($B$3,NORMATIVOS!$C$1:$Z$1,0))="Consolidado")+--(INDEX(NORMATIVOS!$C$258:$Z$258,1,MATCH($B$3,NORMATIVOS!$C$1:$Z$1,0))="Consolidado")+--(INDEX(NORMATIVOS!$C$259:$Z$259,1,MATCH($B$3,NORMATIVOS!$C$1:$Z$1,0))="Consolidado")</f>
        <v>15</v>
      </c>
      <c r="F20">
        <f>--(INDEX(NORMATIVOS!$C$232:$Z$232,1,MATCH($B$3,NORMATIVOS!$C$1:$Z$1,0))="En proceso")+--(INDEX(NORMATIVOS!$C$233:$Z$233,1,MATCH($B$3,NORMATIVOS!$C$1:$Z$1,0))="En proceso")+--(INDEX(NORMATIVOS!$C$234:$Z$234,1,MATCH($B$3,NORMATIVOS!$C$1:$Z$1,0))="En proceso")+--(INDEX(NORMATIVOS!$C$235:$Z$235,1,MATCH($B$3,NORMATIVOS!$C$1:$Z$1,0))="En proceso")+--(INDEX(NORMATIVOS!$C$236:$Z$236,1,MATCH($B$3,NORMATIVOS!$C$1:$Z$1,0))="En proceso")+--(INDEX(NORMATIVOS!$C$237:$Z$237,1,MATCH($B$3,NORMATIVOS!$C$1:$Z$1,0))="En proceso")+--(INDEX(NORMATIVOS!$C$238:$Z$238,1,MATCH($B$3,NORMATIVOS!$C$1:$Z$1,0))="En proceso")+--(INDEX(NORMATIVOS!$C$239:$Z$239,1,MATCH($B$3,NORMATIVOS!$C$1:$Z$1,0))="En proceso")+--(INDEX(NORMATIVOS!$C$240:$Z$240,1,MATCH($B$3,NORMATIVOS!$C$1:$Z$1,0))="En proceso")+--(INDEX(NORMATIVOS!$C$241:$Z$241,1,MATCH($B$3,NORMATIVOS!$C$1:$Z$1,0))="En proceso")+--(INDEX(NORMATIVOS!$C$242:$Z$242,1,MATCH($B$3,NORMATIVOS!$C$1:$Z$1,0))="En proceso")+--(INDEX(NORMATIVOS!$C$243:$Z$243,1,MATCH($B$3,NORMATIVOS!$C$1:$Z$1,0))="En proceso")+--(INDEX(NORMATIVOS!$C$244:$Z$244,1,MATCH($B$3,NORMATIVOS!$C$1:$Z$1,0))="En proceso")+--(INDEX(NORMATIVOS!$C$245:$Z$245,1,MATCH($B$3,NORMATIVOS!$C$1:$Z$1,0))="En proceso")+--(INDEX(NORMATIVOS!$C$246:$Z$246,1,MATCH($B$3,NORMATIVOS!$C$1:$Z$1,0))="En proceso")+--(INDEX(NORMATIVOS!$C$247:$Z$247,1,MATCH($B$3,NORMATIVOS!$C$1:$Z$1,0))="En proceso")+--(INDEX(NORMATIVOS!$C$248:$Z$248,1,MATCH($B$3,NORMATIVOS!$C$1:$Z$1,0))="En proceso")+--(INDEX(NORMATIVOS!$C$249:$Z$249,1,MATCH($B$3,NORMATIVOS!$C$1:$Z$1,0))="En proceso")+--(INDEX(NORMATIVOS!$C$250:$Z$250,1,MATCH($B$3,NORMATIVOS!$C$1:$Z$1,0))="En proceso")+--(INDEX(NORMATIVOS!$C$251:$Z$251,1,MATCH($B$3,NORMATIVOS!$C$1:$Z$1,0))="En proceso")+--(INDEX(NORMATIVOS!$C$252:$Z$252,1,MATCH($B$3,NORMATIVOS!$C$1:$Z$1,0))="En proceso")+--(INDEX(NORMATIVOS!$C$253:$Z$253,1,MATCH($B$3,NORMATIVOS!$C$1:$Z$1,0))="En proceso")+--(INDEX(NORMATIVOS!$C$254:$Z$254,1,MATCH($B$3,NORMATIVOS!$C$1:$Z$1,0))="En proceso")+--(INDEX(NORMATIVOS!$C$255:$Z$255,1,MATCH($B$3,NORMATIVOS!$C$1:$Z$1,0))="En proceso")+--(INDEX(NORMATIVOS!$C$256:$Z$256,1,MATCH($B$3,NORMATIVOS!$C$1:$Z$1,0))="En proceso")+--(INDEX(NORMATIVOS!$C$257:$Z$257,1,MATCH($B$3,NORMATIVOS!$C$1:$Z$1,0))="En proceso")+--(INDEX(NORMATIVOS!$C$258:$Z$258,1,MATCH($B$3,NORMATIVOS!$C$1:$Z$1,0))="En proceso")+--(INDEX(NORMATIVOS!$C$259:$Z$259,1,MATCH($B$3,NORMATIVOS!$C$1:$Z$1,0))="En proceso")</f>
        <v>0</v>
      </c>
      <c r="G20">
        <f>--(INDEX(NORMATIVOS!$C$232:$Z$232,1,MATCH($B$3,NORMATIVOS!$C$1:$Z$1,0))="Proyección")+--(INDEX(NORMATIVOS!$C$233:$Z$233,1,MATCH($B$3,NORMATIVOS!$C$1:$Z$1,0))="Proyección")+--(INDEX(NORMATIVOS!$C$234:$Z$234,1,MATCH($B$3,NORMATIVOS!$C$1:$Z$1,0))="Proyección")+--(INDEX(NORMATIVOS!$C$235:$Z$235,1,MATCH($B$3,NORMATIVOS!$C$1:$Z$1,0))="Proyección")+--(INDEX(NORMATIVOS!$C$236:$Z$236,1,MATCH($B$3,NORMATIVOS!$C$1:$Z$1,0))="Proyección")+--(INDEX(NORMATIVOS!$C$237:$Z$237,1,MATCH($B$3,NORMATIVOS!$C$1:$Z$1,0))="Proyección")+--(INDEX(NORMATIVOS!$C$238:$Z$238,1,MATCH($B$3,NORMATIVOS!$C$1:$Z$1,0))="Proyección")+--(INDEX(NORMATIVOS!$C$239:$Z$239,1,MATCH($B$3,NORMATIVOS!$C$1:$Z$1,0))="Proyección")+--(INDEX(NORMATIVOS!$C$240:$Z$240,1,MATCH($B$3,NORMATIVOS!$C$1:$Z$1,0))="Proyección")+--(INDEX(NORMATIVOS!$C$241:$Z$241,1,MATCH($B$3,NORMATIVOS!$C$1:$Z$1,0))="Proyección")+--(INDEX(NORMATIVOS!$C$242:$Z$242,1,MATCH($B$3,NORMATIVOS!$C$1:$Z$1,0))="Proyección")+--(INDEX(NORMATIVOS!$C$243:$Z$243,1,MATCH($B$3,NORMATIVOS!$C$1:$Z$1,0))="Proyección")+--(INDEX(NORMATIVOS!$C$244:$Z$244,1,MATCH($B$3,NORMATIVOS!$C$1:$Z$1,0))="Proyección")+--(INDEX(NORMATIVOS!$C$245:$Z$245,1,MATCH($B$3,NORMATIVOS!$C$1:$Z$1,0))="Proyección")+--(INDEX(NORMATIVOS!$C$246:$Z$246,1,MATCH($B$3,NORMATIVOS!$C$1:$Z$1,0))="Proyección")+--(INDEX(NORMATIVOS!$C$247:$Z$247,1,MATCH($B$3,NORMATIVOS!$C$1:$Z$1,0))="Proyección")+--(INDEX(NORMATIVOS!$C$248:$Z$248,1,MATCH($B$3,NORMATIVOS!$C$1:$Z$1,0))="Proyección")+--(INDEX(NORMATIVOS!$C$249:$Z$249,1,MATCH($B$3,NORMATIVOS!$C$1:$Z$1,0))="Proyección")+--(INDEX(NORMATIVOS!$C$250:$Z$250,1,MATCH($B$3,NORMATIVOS!$C$1:$Z$1,0))="Proyección")+--(INDEX(NORMATIVOS!$C$251:$Z$251,1,MATCH($B$3,NORMATIVOS!$C$1:$Z$1,0))="Proyección")+--(INDEX(NORMATIVOS!$C$252:$Z$252,1,MATCH($B$3,NORMATIVOS!$C$1:$Z$1,0))="Proyección")+--(INDEX(NORMATIVOS!$C$253:$Z$253,1,MATCH($B$3,NORMATIVOS!$C$1:$Z$1,0))="Proyección")+--(INDEX(NORMATIVOS!$C$254:$Z$254,1,MATCH($B$3,NORMATIVOS!$C$1:$Z$1,0))="Proyección")+--(INDEX(NORMATIVOS!$C$255:$Z$255,1,MATCH($B$3,NORMATIVOS!$C$1:$Z$1,0))="Proyección")+--(INDEX(NORMATIVOS!$C$256:$Z$256,1,MATCH($B$3,NORMATIVOS!$C$1:$Z$1,0))="Proyección")+--(INDEX(NORMATIVOS!$C$257:$Z$257,1,MATCH($B$3,NORMATIVOS!$C$1:$Z$1,0))="Proyección")+--(INDEX(NORMATIVOS!$C$258:$Z$258,1,MATCH($B$3,NORMATIVOS!$C$1:$Z$1,0))="Proyección")+--(INDEX(NORMATIVOS!$C$259:$Z$259,1,MATCH($B$3,NORMATIVOS!$C$1:$Z$1,0))="Proyección")</f>
        <v>13</v>
      </c>
      <c r="H20" s="15">
        <f t="shared" si="0"/>
        <v>0.5357142857142857</v>
      </c>
    </row>
    <row r="21" spans="1:8" x14ac:dyDescent="0.2">
      <c r="D21" t="s">
        <v>248</v>
      </c>
      <c r="E21">
        <f>--(INDEX(NORMATIVOS!$C$260:$Z$260,1,MATCH($B$3,NORMATIVOS!$C$1:$Z$1,0))="Consolidado")+--(INDEX(NORMATIVOS!$C$261:$Z$261,1,MATCH($B$3,NORMATIVOS!$C$1:$Z$1,0))="Consolidado")+--(INDEX(NORMATIVOS!$C$262:$Z$262,1,MATCH($B$3,NORMATIVOS!$C$1:$Z$1,0))="Consolidado")+--(INDEX(NORMATIVOS!$C$263:$Z$263,1,MATCH($B$3,NORMATIVOS!$C$1:$Z$1,0))="Consolidado")+--(INDEX(NORMATIVOS!$C$264:$Z$264,1,MATCH($B$3,NORMATIVOS!$C$1:$Z$1,0))="Consolidado")+--(INDEX(NORMATIVOS!$C$265:$Z$265,1,MATCH($B$3,NORMATIVOS!$C$1:$Z$1,0))="Consolidado")+--(INDEX(NORMATIVOS!$C$266:$Z$266,1,MATCH($B$3,NORMATIVOS!$C$1:$Z$1,0))="Consolidado")+--(INDEX(NORMATIVOS!$C$267:$Z$267,1,MATCH($B$3,NORMATIVOS!$C$1:$Z$1,0))="Consolidado")+--(INDEX(NORMATIVOS!$C$268:$Z$268,1,MATCH($B$3,NORMATIVOS!$C$1:$Z$1,0))="Consolidado")+--(INDEX(NORMATIVOS!$C$269:$Z$269,1,MATCH($B$3,NORMATIVOS!$C$1:$Z$1,0))="Consolidado")+--(INDEX(NORMATIVOS!$C$270:$Z$270,1,MATCH($B$3,NORMATIVOS!$C$1:$Z$1,0))="Consolidado")+--(INDEX(NORMATIVOS!$C$271:$Z$271,1,MATCH($B$3,NORMATIVOS!$C$1:$Z$1,0))="Consolidado")+--(INDEX(NORMATIVOS!$C$272:$Z$272,1,MATCH($B$3,NORMATIVOS!$C$1:$Z$1,0))="Consolidado")+--(INDEX(NORMATIVOS!$C$273:$Z$273,1,MATCH($B$3,NORMATIVOS!$C$1:$Z$1,0))="Consolidado")+--(INDEX(NORMATIVOS!$C$274:$Z$274,1,MATCH($B$3,NORMATIVOS!$C$1:$Z$1,0))="Consolidado")+--(INDEX(NORMATIVOS!$C$275:$Z$275,1,MATCH($B$3,NORMATIVOS!$C$1:$Z$1,0))="Consolidado")+--(INDEX(NORMATIVOS!$C$276:$Z$276,1,MATCH($B$3,NORMATIVOS!$C$1:$Z$1,0))="Consolidado")</f>
        <v>5</v>
      </c>
      <c r="F21">
        <f>--(INDEX(NORMATIVOS!$C$260:$Z$260,1,MATCH($B$3,NORMATIVOS!$C$1:$Z$1,0))="En proceso")+--(INDEX(NORMATIVOS!$C$261:$Z$261,1,MATCH($B$3,NORMATIVOS!$C$1:$Z$1,0))="En proceso")+--(INDEX(NORMATIVOS!$C$262:$Z$262,1,MATCH($B$3,NORMATIVOS!$C$1:$Z$1,0))="En proceso")+--(INDEX(NORMATIVOS!$C$263:$Z$263,1,MATCH($B$3,NORMATIVOS!$C$1:$Z$1,0))="En proceso")+--(INDEX(NORMATIVOS!$C$264:$Z$264,1,MATCH($B$3,NORMATIVOS!$C$1:$Z$1,0))="En proceso")+--(INDEX(NORMATIVOS!$C$265:$Z$265,1,MATCH($B$3,NORMATIVOS!$C$1:$Z$1,0))="En proceso")+--(INDEX(NORMATIVOS!$C$266:$Z$266,1,MATCH($B$3,NORMATIVOS!$C$1:$Z$1,0))="En proceso")+--(INDEX(NORMATIVOS!$C$267:$Z$267,1,MATCH($B$3,NORMATIVOS!$C$1:$Z$1,0))="En proceso")+--(INDEX(NORMATIVOS!$C$268:$Z$268,1,MATCH($B$3,NORMATIVOS!$C$1:$Z$1,0))="En proceso")+--(INDEX(NORMATIVOS!$C$269:$Z$269,1,MATCH($B$3,NORMATIVOS!$C$1:$Z$1,0))="En proceso")+--(INDEX(NORMATIVOS!$C$270:$Z$270,1,MATCH($B$3,NORMATIVOS!$C$1:$Z$1,0))="En proceso")+--(INDEX(NORMATIVOS!$C$271:$Z$271,1,MATCH($B$3,NORMATIVOS!$C$1:$Z$1,0))="En proceso")+--(INDEX(NORMATIVOS!$C$272:$Z$272,1,MATCH($B$3,NORMATIVOS!$C$1:$Z$1,0))="En proceso")+--(INDEX(NORMATIVOS!$C$273:$Z$273,1,MATCH($B$3,NORMATIVOS!$C$1:$Z$1,0))="En proceso")+--(INDEX(NORMATIVOS!$C$274:$Z$274,1,MATCH($B$3,NORMATIVOS!$C$1:$Z$1,0))="En proceso")+--(INDEX(NORMATIVOS!$C$275:$Z$275,1,MATCH($B$3,NORMATIVOS!$C$1:$Z$1,0))="En proceso")+--(INDEX(NORMATIVOS!$C$276:$Z$276,1,MATCH($B$3,NORMATIVOS!$C$1:$Z$1,0))="En proceso")</f>
        <v>6</v>
      </c>
      <c r="G21">
        <f>--(INDEX(NORMATIVOS!$C$260:$Z$260,1,MATCH($B$3,NORMATIVOS!$C$1:$Z$1,0))="Proyección")+--(INDEX(NORMATIVOS!$C$261:$Z$261,1,MATCH($B$3,NORMATIVOS!$C$1:$Z$1,0))="Proyección")+--(INDEX(NORMATIVOS!$C$262:$Z$262,1,MATCH($B$3,NORMATIVOS!$C$1:$Z$1,0))="Proyección")+--(INDEX(NORMATIVOS!$C$263:$Z$263,1,MATCH($B$3,NORMATIVOS!$C$1:$Z$1,0))="Proyección")+--(INDEX(NORMATIVOS!$C$264:$Z$264,1,MATCH($B$3,NORMATIVOS!$C$1:$Z$1,0))="Proyección")+--(INDEX(NORMATIVOS!$C$265:$Z$265,1,MATCH($B$3,NORMATIVOS!$C$1:$Z$1,0))="Proyección")+--(INDEX(NORMATIVOS!$C$266:$Z$266,1,MATCH($B$3,NORMATIVOS!$C$1:$Z$1,0))="Proyección")+--(INDEX(NORMATIVOS!$C$267:$Z$267,1,MATCH($B$3,NORMATIVOS!$C$1:$Z$1,0))="Proyección")+--(INDEX(NORMATIVOS!$C$268:$Z$268,1,MATCH($B$3,NORMATIVOS!$C$1:$Z$1,0))="Proyección")+--(INDEX(NORMATIVOS!$C$269:$Z$269,1,MATCH($B$3,NORMATIVOS!$C$1:$Z$1,0))="Proyección")+--(INDEX(NORMATIVOS!$C$270:$Z$270,1,MATCH($B$3,NORMATIVOS!$C$1:$Z$1,0))="Proyección")+--(INDEX(NORMATIVOS!$C$271:$Z$271,1,MATCH($B$3,NORMATIVOS!$C$1:$Z$1,0))="Proyección")+--(INDEX(NORMATIVOS!$C$272:$Z$272,1,MATCH($B$3,NORMATIVOS!$C$1:$Z$1,0))="Proyección")+--(INDEX(NORMATIVOS!$C$273:$Z$273,1,MATCH($B$3,NORMATIVOS!$C$1:$Z$1,0))="Proyección")+--(INDEX(NORMATIVOS!$C$274:$Z$274,1,MATCH($B$3,NORMATIVOS!$C$1:$Z$1,0))="Proyección")+--(INDEX(NORMATIVOS!$C$275:$Z$275,1,MATCH($B$3,NORMATIVOS!$C$1:$Z$1,0))="Proyección")+--(INDEX(NORMATIVOS!$C$276:$Z$276,1,MATCH($B$3,NORMATIVOS!$C$1:$Z$1,0))="Proyección")</f>
        <v>6</v>
      </c>
      <c r="H21" s="15">
        <f t="shared" si="0"/>
        <v>0.29411764705882354</v>
      </c>
    </row>
    <row r="25" spans="1:8" x14ac:dyDescent="0.2">
      <c r="A25" s="61" t="s">
        <v>289</v>
      </c>
      <c r="B25" s="59"/>
      <c r="C25" s="59"/>
    </row>
    <row r="26" spans="1:8" x14ac:dyDescent="0.2">
      <c r="A26" s="10" t="s">
        <v>288</v>
      </c>
      <c r="B26" s="10" t="s">
        <v>290</v>
      </c>
      <c r="C26" s="10" t="s">
        <v>291</v>
      </c>
    </row>
    <row r="27" spans="1:8" x14ac:dyDescent="0.2">
      <c r="A27" t="s">
        <v>1</v>
      </c>
      <c r="B27" t="s">
        <v>2</v>
      </c>
      <c r="C27" t="str">
        <f>INDEX(NORMATIVOS!$C$3:$Z$3,1,MATCH($B$3,NORMATIVOS!$C$1:$Z$1,0))</f>
        <v>En proceso</v>
      </c>
    </row>
    <row r="28" spans="1:8" x14ac:dyDescent="0.2">
      <c r="A28" t="s">
        <v>1</v>
      </c>
      <c r="B28" t="s">
        <v>5</v>
      </c>
      <c r="C28" t="str">
        <f>INDEX(NORMATIVOS!$C$4:$Z$4,1,MATCH($B$3,NORMATIVOS!$C$1:$Z$1,0))</f>
        <v>Consolidado</v>
      </c>
    </row>
    <row r="29" spans="1:8" x14ac:dyDescent="0.2">
      <c r="A29" t="s">
        <v>1</v>
      </c>
      <c r="B29" t="s">
        <v>6</v>
      </c>
      <c r="C29" t="str">
        <f>INDEX(NORMATIVOS!$C$5:$Z$5,1,MATCH($B$3,NORMATIVOS!$C$1:$Z$1,0))</f>
        <v>Consolidado</v>
      </c>
    </row>
    <row r="30" spans="1:8" x14ac:dyDescent="0.2">
      <c r="A30" t="s">
        <v>1</v>
      </c>
      <c r="B30" t="s">
        <v>7</v>
      </c>
      <c r="C30" t="str">
        <f>INDEX(NORMATIVOS!$C$6:$Z$6,1,MATCH($B$3,NORMATIVOS!$C$1:$Z$1,0))</f>
        <v>Consolidado</v>
      </c>
    </row>
    <row r="31" spans="1:8" x14ac:dyDescent="0.2">
      <c r="A31" t="s">
        <v>1</v>
      </c>
      <c r="B31" t="s">
        <v>8</v>
      </c>
      <c r="C31" t="str">
        <f>INDEX(NORMATIVOS!$C$7:$Z$7,1,MATCH($B$3,NORMATIVOS!$C$1:$Z$1,0))</f>
        <v>Consolidado</v>
      </c>
    </row>
    <row r="32" spans="1:8" x14ac:dyDescent="0.2">
      <c r="A32" t="s">
        <v>1</v>
      </c>
      <c r="B32" t="s">
        <v>9</v>
      </c>
      <c r="C32" t="str">
        <f>INDEX(NORMATIVOS!$C$8:$Z$8,1,MATCH($B$3,NORMATIVOS!$C$1:$Z$1,0))</f>
        <v>En proceso</v>
      </c>
    </row>
    <row r="33" spans="1:3" x14ac:dyDescent="0.2">
      <c r="A33" t="s">
        <v>1</v>
      </c>
      <c r="B33" t="s">
        <v>10</v>
      </c>
      <c r="C33" t="str">
        <f>INDEX(NORMATIVOS!$C$9:$Z$9,1,MATCH($B$3,NORMATIVOS!$C$1:$Z$1,0))</f>
        <v>En proceso</v>
      </c>
    </row>
    <row r="34" spans="1:3" x14ac:dyDescent="0.2">
      <c r="A34" t="s">
        <v>1</v>
      </c>
      <c r="B34" t="s">
        <v>11</v>
      </c>
      <c r="C34" t="str">
        <f>INDEX(NORMATIVOS!$C$10:$Z$10,1,MATCH($B$3,NORMATIVOS!$C$1:$Z$1,0))</f>
        <v>En proceso</v>
      </c>
    </row>
    <row r="35" spans="1:3" x14ac:dyDescent="0.2">
      <c r="A35" t="s">
        <v>1</v>
      </c>
      <c r="B35" t="s">
        <v>12</v>
      </c>
      <c r="C35" t="str">
        <f>INDEX(NORMATIVOS!$C$11:$Z$11,1,MATCH($B$3,NORMATIVOS!$C$1:$Z$1,0))</f>
        <v>Consolidado</v>
      </c>
    </row>
    <row r="36" spans="1:3" x14ac:dyDescent="0.2">
      <c r="A36" t="s">
        <v>1</v>
      </c>
      <c r="B36" t="s">
        <v>13</v>
      </c>
      <c r="C36" t="str">
        <f>INDEX(NORMATIVOS!$C$12:$Z$12,1,MATCH($B$3,NORMATIVOS!$C$1:$Z$1,0))</f>
        <v>Consolidado</v>
      </c>
    </row>
    <row r="37" spans="1:3" x14ac:dyDescent="0.2">
      <c r="A37" t="s">
        <v>1</v>
      </c>
      <c r="B37" t="s">
        <v>14</v>
      </c>
      <c r="C37" t="str">
        <f>INDEX(NORMATIVOS!$C$13:$Z$13,1,MATCH($B$3,NORMATIVOS!$C$1:$Z$1,0))</f>
        <v>Consolidado</v>
      </c>
    </row>
    <row r="38" spans="1:3" x14ac:dyDescent="0.2">
      <c r="A38" t="s">
        <v>1</v>
      </c>
      <c r="B38" t="s">
        <v>15</v>
      </c>
      <c r="C38" t="str">
        <f>INDEX(NORMATIVOS!$C$14:$Z$14,1,MATCH($B$3,NORMATIVOS!$C$1:$Z$1,0))</f>
        <v>Consolidado</v>
      </c>
    </row>
    <row r="39" spans="1:3" x14ac:dyDescent="0.2">
      <c r="A39" t="s">
        <v>1</v>
      </c>
      <c r="B39" t="s">
        <v>16</v>
      </c>
      <c r="C39" t="str">
        <f>INDEX(NORMATIVOS!$C$15:$Z$15,1,MATCH($B$3,NORMATIVOS!$C$1:$Z$1,0))</f>
        <v>En proceso</v>
      </c>
    </row>
    <row r="40" spans="1:3" x14ac:dyDescent="0.2">
      <c r="A40" t="s">
        <v>1</v>
      </c>
      <c r="B40" t="s">
        <v>17</v>
      </c>
      <c r="C40" t="str">
        <f>INDEX(NORMATIVOS!$C$16:$Z$16,1,MATCH($B$3,NORMATIVOS!$C$1:$Z$1,0))</f>
        <v>Consolidado</v>
      </c>
    </row>
    <row r="41" spans="1:3" x14ac:dyDescent="0.2">
      <c r="A41" t="s">
        <v>271</v>
      </c>
      <c r="B41" t="s">
        <v>292</v>
      </c>
      <c r="C41" t="str">
        <f>INDEX(NORMATIVOS!$C$17:$Z$17,1,MATCH($B$3,NORMATIVOS!$C$1:$Z$1,0))</f>
        <v>Consolidado</v>
      </c>
    </row>
    <row r="42" spans="1:3" x14ac:dyDescent="0.2">
      <c r="A42" t="s">
        <v>271</v>
      </c>
      <c r="B42" t="s">
        <v>20</v>
      </c>
      <c r="C42" t="str">
        <f>INDEX(NORMATIVOS!$C$18:$Z$18,1,MATCH($B$3,NORMATIVOS!$C$1:$Z$1,0))</f>
        <v>Consolidado</v>
      </c>
    </row>
    <row r="43" spans="1:3" x14ac:dyDescent="0.2">
      <c r="A43" t="s">
        <v>271</v>
      </c>
      <c r="B43" t="s">
        <v>21</v>
      </c>
      <c r="C43" t="str">
        <f>INDEX(NORMATIVOS!$C$19:$Z$19,1,MATCH($B$3,NORMATIVOS!$C$1:$Z$1,0))</f>
        <v>Consolidado</v>
      </c>
    </row>
    <row r="44" spans="1:3" x14ac:dyDescent="0.2">
      <c r="A44" t="s">
        <v>271</v>
      </c>
      <c r="B44" t="s">
        <v>22</v>
      </c>
      <c r="C44" t="str">
        <f>INDEX(NORMATIVOS!$C$20:$Z$20,1,MATCH($B$3,NORMATIVOS!$C$1:$Z$1,0))</f>
        <v>Consolidado</v>
      </c>
    </row>
    <row r="45" spans="1:3" x14ac:dyDescent="0.2">
      <c r="A45" t="s">
        <v>271</v>
      </c>
      <c r="B45" t="s">
        <v>23</v>
      </c>
      <c r="C45" t="str">
        <f>INDEX(NORMATIVOS!$C$21:$Z$21,1,MATCH($B$3,NORMATIVOS!$C$1:$Z$1,0))</f>
        <v>Consolidado</v>
      </c>
    </row>
    <row r="46" spans="1:3" x14ac:dyDescent="0.2">
      <c r="A46" t="s">
        <v>271</v>
      </c>
      <c r="B46" t="s">
        <v>24</v>
      </c>
      <c r="C46" t="str">
        <f>INDEX(NORMATIVOS!$C$22:$Z$22,1,MATCH($B$3,NORMATIVOS!$C$1:$Z$1,0))</f>
        <v>Consolidado</v>
      </c>
    </row>
    <row r="47" spans="1:3" x14ac:dyDescent="0.2">
      <c r="A47" t="s">
        <v>271</v>
      </c>
      <c r="B47" t="s">
        <v>293</v>
      </c>
      <c r="C47" t="str">
        <f>INDEX(NORMATIVOS!$C$23:$Z$23,1,MATCH($B$3,NORMATIVOS!$C$1:$Z$1,0))</f>
        <v>Consolidado</v>
      </c>
    </row>
    <row r="48" spans="1:3" x14ac:dyDescent="0.2">
      <c r="A48" t="s">
        <v>271</v>
      </c>
      <c r="B48" t="s">
        <v>26</v>
      </c>
      <c r="C48" t="str">
        <f>INDEX(NORMATIVOS!$C$24:$Z$24,1,MATCH($B$3,NORMATIVOS!$C$1:$Z$1,0))</f>
        <v>En proceso</v>
      </c>
    </row>
    <row r="49" spans="1:3" x14ac:dyDescent="0.2">
      <c r="A49" t="s">
        <v>271</v>
      </c>
      <c r="B49" t="s">
        <v>27</v>
      </c>
      <c r="C49" t="str">
        <f>INDEX(NORMATIVOS!$C$25:$Z$25,1,MATCH($B$3,NORMATIVOS!$C$1:$Z$1,0))</f>
        <v>En proceso</v>
      </c>
    </row>
    <row r="50" spans="1:3" x14ac:dyDescent="0.2">
      <c r="A50" t="s">
        <v>271</v>
      </c>
      <c r="B50" t="s">
        <v>28</v>
      </c>
      <c r="C50" t="str">
        <f>INDEX(NORMATIVOS!$C$26:$Z$26,1,MATCH($B$3,NORMATIVOS!$C$1:$Z$1,0))</f>
        <v>Consolidado</v>
      </c>
    </row>
    <row r="51" spans="1:3" x14ac:dyDescent="0.2">
      <c r="A51" t="s">
        <v>271</v>
      </c>
      <c r="B51" t="s">
        <v>294</v>
      </c>
      <c r="C51" t="str">
        <f>INDEX(NORMATIVOS!$C$27:$Z$27,1,MATCH($B$3,NORMATIVOS!$C$1:$Z$1,0))</f>
        <v>Proyección</v>
      </c>
    </row>
    <row r="52" spans="1:3" x14ac:dyDescent="0.2">
      <c r="A52" t="s">
        <v>274</v>
      </c>
      <c r="B52" t="s">
        <v>31</v>
      </c>
      <c r="C52" t="str">
        <f>INDEX(NORMATIVOS!$C$28:$Z$28,1,MATCH($B$3,NORMATIVOS!$C$1:$Z$1,0))</f>
        <v>Consolidado</v>
      </c>
    </row>
    <row r="53" spans="1:3" x14ac:dyDescent="0.2">
      <c r="A53" t="s">
        <v>274</v>
      </c>
      <c r="B53" t="s">
        <v>32</v>
      </c>
      <c r="C53" t="str">
        <f>INDEX(NORMATIVOS!$C$29:$Z$29,1,MATCH($B$3,NORMATIVOS!$C$1:$Z$1,0))</f>
        <v>Consolidado</v>
      </c>
    </row>
    <row r="54" spans="1:3" x14ac:dyDescent="0.2">
      <c r="A54" t="s">
        <v>274</v>
      </c>
      <c r="B54" t="s">
        <v>33</v>
      </c>
      <c r="C54" t="str">
        <f>INDEX(NORMATIVOS!$C$30:$Z$30,1,MATCH($B$3,NORMATIVOS!$C$1:$Z$1,0))</f>
        <v>Consolidado</v>
      </c>
    </row>
    <row r="55" spans="1:3" x14ac:dyDescent="0.2">
      <c r="A55" t="s">
        <v>274</v>
      </c>
      <c r="B55" t="s">
        <v>34</v>
      </c>
      <c r="C55" t="str">
        <f>INDEX(NORMATIVOS!$C$31:$Z$31,1,MATCH($B$3,NORMATIVOS!$C$1:$Z$1,0))</f>
        <v>Consolidado</v>
      </c>
    </row>
    <row r="56" spans="1:3" x14ac:dyDescent="0.2">
      <c r="A56" t="s">
        <v>274</v>
      </c>
      <c r="B56" t="s">
        <v>35</v>
      </c>
      <c r="C56" t="str">
        <f>INDEX(NORMATIVOS!$C$32:$Z$32,1,MATCH($B$3,NORMATIVOS!$C$1:$Z$1,0))</f>
        <v>Consolidado</v>
      </c>
    </row>
    <row r="57" spans="1:3" x14ac:dyDescent="0.2">
      <c r="A57" t="s">
        <v>274</v>
      </c>
      <c r="B57" t="s">
        <v>36</v>
      </c>
      <c r="C57" t="str">
        <f>INDEX(NORMATIVOS!$C$33:$Z$33,1,MATCH($B$3,NORMATIVOS!$C$1:$Z$1,0))</f>
        <v>En proceso</v>
      </c>
    </row>
    <row r="58" spans="1:3" x14ac:dyDescent="0.2">
      <c r="A58" t="s">
        <v>274</v>
      </c>
      <c r="B58" t="s">
        <v>37</v>
      </c>
      <c r="C58" t="str">
        <f>INDEX(NORMATIVOS!$C$34:$Z$34,1,MATCH($B$3,NORMATIVOS!$C$1:$Z$1,0))</f>
        <v>En proceso</v>
      </c>
    </row>
    <row r="59" spans="1:3" x14ac:dyDescent="0.2">
      <c r="A59" t="s">
        <v>274</v>
      </c>
      <c r="B59" t="s">
        <v>38</v>
      </c>
      <c r="C59" t="str">
        <f>INDEX(NORMATIVOS!$C$35:$Z$35,1,MATCH($B$3,NORMATIVOS!$C$1:$Z$1,0))</f>
        <v>En proceso</v>
      </c>
    </row>
    <row r="60" spans="1:3" x14ac:dyDescent="0.2">
      <c r="A60" t="s">
        <v>274</v>
      </c>
      <c r="B60" t="s">
        <v>39</v>
      </c>
      <c r="C60" t="str">
        <f>INDEX(NORMATIVOS!$C$36:$Z$36,1,MATCH($B$3,NORMATIVOS!$C$1:$Z$1,0))</f>
        <v>En proceso</v>
      </c>
    </row>
    <row r="61" spans="1:3" x14ac:dyDescent="0.2">
      <c r="A61" t="s">
        <v>274</v>
      </c>
      <c r="B61" t="s">
        <v>40</v>
      </c>
      <c r="C61" t="str">
        <f>INDEX(NORMATIVOS!$C$37:$Z$37,1,MATCH($B$3,NORMATIVOS!$C$1:$Z$1,0))</f>
        <v>Proyección</v>
      </c>
    </row>
    <row r="62" spans="1:3" x14ac:dyDescent="0.2">
      <c r="A62" t="s">
        <v>276</v>
      </c>
      <c r="B62" t="s">
        <v>42</v>
      </c>
      <c r="C62" t="str">
        <f>INDEX(NORMATIVOS!$C$38:$Z$38,1,MATCH($B$3,NORMATIVOS!$C$1:$Z$1,0))</f>
        <v>En proceso</v>
      </c>
    </row>
    <row r="63" spans="1:3" x14ac:dyDescent="0.2">
      <c r="A63" t="s">
        <v>276</v>
      </c>
      <c r="B63" t="s">
        <v>43</v>
      </c>
      <c r="C63" t="str">
        <f>INDEX(NORMATIVOS!$C$39:$Z$39,1,MATCH($B$3,NORMATIVOS!$C$1:$Z$1,0))</f>
        <v>En proceso</v>
      </c>
    </row>
    <row r="64" spans="1:3" x14ac:dyDescent="0.2">
      <c r="A64" t="s">
        <v>276</v>
      </c>
      <c r="B64" t="s">
        <v>44</v>
      </c>
      <c r="C64" t="str">
        <f>INDEX(NORMATIVOS!$C$40:$Z$40,1,MATCH($B$3,NORMATIVOS!$C$1:$Z$1,0))</f>
        <v>En proceso</v>
      </c>
    </row>
    <row r="65" spans="1:3" x14ac:dyDescent="0.2">
      <c r="A65" t="s">
        <v>276</v>
      </c>
      <c r="B65" t="s">
        <v>45</v>
      </c>
      <c r="C65" t="str">
        <f>INDEX(NORMATIVOS!$C$41:$Z$41,1,MATCH($B$3,NORMATIVOS!$C$1:$Z$1,0))</f>
        <v>En proceso</v>
      </c>
    </row>
    <row r="66" spans="1:3" x14ac:dyDescent="0.2">
      <c r="A66" t="s">
        <v>276</v>
      </c>
      <c r="B66" t="s">
        <v>46</v>
      </c>
      <c r="C66" t="str">
        <f>INDEX(NORMATIVOS!$C$42:$Z$42,1,MATCH($B$3,NORMATIVOS!$C$1:$Z$1,0))</f>
        <v>N/A</v>
      </c>
    </row>
    <row r="67" spans="1:3" x14ac:dyDescent="0.2">
      <c r="A67" t="s">
        <v>276</v>
      </c>
      <c r="B67" t="s">
        <v>47</v>
      </c>
      <c r="C67" t="str">
        <f>INDEX(NORMATIVOS!$C$43:$Z$43,1,MATCH($B$3,NORMATIVOS!$C$1:$Z$1,0))</f>
        <v>En proceso</v>
      </c>
    </row>
    <row r="68" spans="1:3" x14ac:dyDescent="0.2">
      <c r="A68" t="s">
        <v>276</v>
      </c>
      <c r="B68" t="s">
        <v>48</v>
      </c>
      <c r="C68" t="str">
        <f>INDEX(NORMATIVOS!$C$44:$Z$44,1,MATCH($B$3,NORMATIVOS!$C$1:$Z$1,0))</f>
        <v>En proceso</v>
      </c>
    </row>
    <row r="69" spans="1:3" x14ac:dyDescent="0.2">
      <c r="A69" t="s">
        <v>276</v>
      </c>
      <c r="B69" t="s">
        <v>49</v>
      </c>
      <c r="C69" t="str">
        <f>INDEX(NORMATIVOS!$C$45:$Z$45,1,MATCH($B$3,NORMATIVOS!$C$1:$Z$1,0))</f>
        <v>N/A</v>
      </c>
    </row>
    <row r="70" spans="1:3" x14ac:dyDescent="0.2">
      <c r="A70" t="s">
        <v>276</v>
      </c>
      <c r="B70" t="s">
        <v>50</v>
      </c>
      <c r="C70" t="str">
        <f>INDEX(NORMATIVOS!$C$46:$Z$46,1,MATCH($B$3,NORMATIVOS!$C$1:$Z$1,0))</f>
        <v>En proceso</v>
      </c>
    </row>
    <row r="71" spans="1:3" x14ac:dyDescent="0.2">
      <c r="A71" t="s">
        <v>52</v>
      </c>
      <c r="B71" t="s">
        <v>53</v>
      </c>
      <c r="C71" t="str">
        <f>INDEX(NORMATIVOS!$C$49:$Z$49,1,MATCH($B$3,NORMATIVOS!$C$1:$Z$1,0))</f>
        <v>Consolidado</v>
      </c>
    </row>
    <row r="72" spans="1:3" x14ac:dyDescent="0.2">
      <c r="A72" t="s">
        <v>52</v>
      </c>
      <c r="B72" t="s">
        <v>54</v>
      </c>
      <c r="C72" t="str">
        <f>INDEX(NORMATIVOS!$C$50:$Z$50,1,MATCH($B$3,NORMATIVOS!$C$1:$Z$1,0))</f>
        <v>Consolidado</v>
      </c>
    </row>
    <row r="73" spans="1:3" x14ac:dyDescent="0.2">
      <c r="A73" t="s">
        <v>52</v>
      </c>
      <c r="B73" t="s">
        <v>55</v>
      </c>
      <c r="C73" t="str">
        <f>INDEX(NORMATIVOS!$C$51:$Z$51,1,MATCH($B$3,NORMATIVOS!$C$1:$Z$1,0))</f>
        <v>Consolidado</v>
      </c>
    </row>
    <row r="74" spans="1:3" x14ac:dyDescent="0.2">
      <c r="A74" t="s">
        <v>52</v>
      </c>
      <c r="B74" t="s">
        <v>56</v>
      </c>
      <c r="C74" t="str">
        <f>INDEX(NORMATIVOS!$C$52:$Z$52,1,MATCH($B$3,NORMATIVOS!$C$1:$Z$1,0))</f>
        <v>Consolidado</v>
      </c>
    </row>
    <row r="75" spans="1:3" x14ac:dyDescent="0.2">
      <c r="A75" t="s">
        <v>52</v>
      </c>
      <c r="B75" t="s">
        <v>57</v>
      </c>
      <c r="C75" t="str">
        <f>INDEX(NORMATIVOS!$C$53:$Z$53,1,MATCH($B$3,NORMATIVOS!$C$1:$Z$1,0))</f>
        <v>Consolidado</v>
      </c>
    </row>
    <row r="76" spans="1:3" x14ac:dyDescent="0.2">
      <c r="A76" t="s">
        <v>52</v>
      </c>
      <c r="B76" t="s">
        <v>58</v>
      </c>
      <c r="C76" t="str">
        <f>INDEX(NORMATIVOS!$C$54:$Z$54,1,MATCH($B$3,NORMATIVOS!$C$1:$Z$1,0))</f>
        <v>Consolidado</v>
      </c>
    </row>
    <row r="77" spans="1:3" x14ac:dyDescent="0.2">
      <c r="A77" t="s">
        <v>52</v>
      </c>
      <c r="B77" t="s">
        <v>59</v>
      </c>
      <c r="C77" t="str">
        <f>INDEX(NORMATIVOS!$C$55:$Z$55,1,MATCH($B$3,NORMATIVOS!$C$1:$Z$1,0))</f>
        <v>Consolidado</v>
      </c>
    </row>
    <row r="78" spans="1:3" x14ac:dyDescent="0.2">
      <c r="A78" t="s">
        <v>52</v>
      </c>
      <c r="B78" t="s">
        <v>60</v>
      </c>
      <c r="C78" t="str">
        <f>INDEX(NORMATIVOS!$C$56:$Z$56,1,MATCH($B$3,NORMATIVOS!$C$1:$Z$1,0))</f>
        <v>Consolidado</v>
      </c>
    </row>
    <row r="79" spans="1:3" x14ac:dyDescent="0.2">
      <c r="A79" t="s">
        <v>52</v>
      </c>
      <c r="B79" t="s">
        <v>61</v>
      </c>
      <c r="C79" t="str">
        <f>INDEX(NORMATIVOS!$C$57:$Z$57,1,MATCH($B$3,NORMATIVOS!$C$1:$Z$1,0))</f>
        <v>Consolidado</v>
      </c>
    </row>
    <row r="80" spans="1:3" x14ac:dyDescent="0.2">
      <c r="A80" t="s">
        <v>52</v>
      </c>
      <c r="B80" t="s">
        <v>62</v>
      </c>
      <c r="C80" t="str">
        <f>INDEX(NORMATIVOS!$C$58:$Z$58,1,MATCH($B$3,NORMATIVOS!$C$1:$Z$1,0))</f>
        <v>Proyección</v>
      </c>
    </row>
    <row r="81" spans="1:3" x14ac:dyDescent="0.2">
      <c r="A81" t="s">
        <v>52</v>
      </c>
      <c r="B81" t="s">
        <v>63</v>
      </c>
      <c r="C81" t="str">
        <f>INDEX(NORMATIVOS!$C$59:$Z$59,1,MATCH($B$3,NORMATIVOS!$C$1:$Z$1,0))</f>
        <v>Consolidado</v>
      </c>
    </row>
    <row r="82" spans="1:3" x14ac:dyDescent="0.2">
      <c r="A82" t="s">
        <v>52</v>
      </c>
      <c r="B82" t="s">
        <v>64</v>
      </c>
      <c r="C82" t="str">
        <f>INDEX(NORMATIVOS!$C$60:$Z$60,1,MATCH($B$3,NORMATIVOS!$C$1:$Z$1,0))</f>
        <v>En proceso</v>
      </c>
    </row>
    <row r="83" spans="1:3" x14ac:dyDescent="0.2">
      <c r="A83" t="s">
        <v>52</v>
      </c>
      <c r="B83" t="s">
        <v>65</v>
      </c>
      <c r="C83" t="str">
        <f>INDEX(NORMATIVOS!$C$61:$Z$61,1,MATCH($B$3,NORMATIVOS!$C$1:$Z$1,0))</f>
        <v>Consolidado</v>
      </c>
    </row>
    <row r="84" spans="1:3" x14ac:dyDescent="0.2">
      <c r="A84" t="s">
        <v>52</v>
      </c>
      <c r="B84" t="s">
        <v>295</v>
      </c>
      <c r="C84" t="str">
        <f>INDEX(NORMATIVOS!$C$62:$Z$62,1,MATCH($B$3,NORMATIVOS!$C$1:$Z$1,0))</f>
        <v>Consolidado</v>
      </c>
    </row>
    <row r="85" spans="1:3" x14ac:dyDescent="0.2">
      <c r="A85" t="s">
        <v>52</v>
      </c>
      <c r="B85" t="s">
        <v>67</v>
      </c>
      <c r="C85" t="str">
        <f>INDEX(NORMATIVOS!$C$63:$Z$63,1,MATCH($B$3,NORMATIVOS!$C$1:$Z$1,0))</f>
        <v>Consolidado</v>
      </c>
    </row>
    <row r="86" spans="1:3" x14ac:dyDescent="0.2">
      <c r="A86" t="s">
        <v>52</v>
      </c>
      <c r="B86" t="s">
        <v>68</v>
      </c>
      <c r="C86" t="str">
        <f>INDEX(NORMATIVOS!$C$64:$Z$64,1,MATCH($B$3,NORMATIVOS!$C$1:$Z$1,0))</f>
        <v>Proyección</v>
      </c>
    </row>
    <row r="87" spans="1:3" x14ac:dyDescent="0.2">
      <c r="A87" t="s">
        <v>69</v>
      </c>
      <c r="B87" t="s">
        <v>70</v>
      </c>
      <c r="C87" t="str">
        <f>INDEX(NORMATIVOS!$C$65:$Z$65,1,MATCH($B$3,NORMATIVOS!$C$1:$Z$1,0))</f>
        <v>Consolidado</v>
      </c>
    </row>
    <row r="88" spans="1:3" x14ac:dyDescent="0.2">
      <c r="A88" t="s">
        <v>69</v>
      </c>
      <c r="B88" t="s">
        <v>71</v>
      </c>
      <c r="C88" t="str">
        <f>INDEX(NORMATIVOS!$C$66:$Z$66,1,MATCH($B$3,NORMATIVOS!$C$1:$Z$1,0))</f>
        <v>Consolidado</v>
      </c>
    </row>
    <row r="89" spans="1:3" x14ac:dyDescent="0.2">
      <c r="A89" t="s">
        <v>69</v>
      </c>
      <c r="B89" t="s">
        <v>64</v>
      </c>
      <c r="C89" t="str">
        <f>INDEX(NORMATIVOS!$C$67:$Z$67,1,MATCH($B$3,NORMATIVOS!$C$1:$Z$1,0))</f>
        <v>Consolidado</v>
      </c>
    </row>
    <row r="90" spans="1:3" x14ac:dyDescent="0.2">
      <c r="A90" t="s">
        <v>69</v>
      </c>
      <c r="B90" t="s">
        <v>72</v>
      </c>
      <c r="C90" t="str">
        <f>INDEX(NORMATIVOS!$C$68:$Z$68,1,MATCH($B$3,NORMATIVOS!$C$1:$Z$1,0))</f>
        <v>Consolidado</v>
      </c>
    </row>
    <row r="91" spans="1:3" x14ac:dyDescent="0.2">
      <c r="A91" t="s">
        <v>69</v>
      </c>
      <c r="B91" t="s">
        <v>73</v>
      </c>
      <c r="C91" t="str">
        <f>INDEX(NORMATIVOS!$C$69:$Z$69,1,MATCH($B$3,NORMATIVOS!$C$1:$Z$1,0))</f>
        <v>Consolidado</v>
      </c>
    </row>
    <row r="92" spans="1:3" x14ac:dyDescent="0.2">
      <c r="A92" t="s">
        <v>69</v>
      </c>
      <c r="B92" t="s">
        <v>62</v>
      </c>
      <c r="C92" t="str">
        <f>INDEX(NORMATIVOS!$C$70:$Z$70,1,MATCH($B$3,NORMATIVOS!$C$1:$Z$1,0))</f>
        <v>Consolidado</v>
      </c>
    </row>
    <row r="93" spans="1:3" x14ac:dyDescent="0.2">
      <c r="A93" t="s">
        <v>69</v>
      </c>
      <c r="B93" t="s">
        <v>65</v>
      </c>
      <c r="C93" t="str">
        <f>INDEX(NORMATIVOS!$C$71:$Z$71,1,MATCH($B$3,NORMATIVOS!$C$1:$Z$1,0))</f>
        <v>Consolidado</v>
      </c>
    </row>
    <row r="94" spans="1:3" x14ac:dyDescent="0.2">
      <c r="A94" t="s">
        <v>69</v>
      </c>
      <c r="B94" t="s">
        <v>295</v>
      </c>
      <c r="C94" t="str">
        <f>INDEX(NORMATIVOS!$C$72:$Z$72,1,MATCH($B$3,NORMATIVOS!$C$1:$Z$1,0))</f>
        <v>En proceso</v>
      </c>
    </row>
    <row r="95" spans="1:3" x14ac:dyDescent="0.2">
      <c r="A95" t="s">
        <v>69</v>
      </c>
      <c r="B95" t="s">
        <v>74</v>
      </c>
      <c r="C95" t="str">
        <f>INDEX(NORMATIVOS!$C$73:$Z$73,1,MATCH($B$3,NORMATIVOS!$C$1:$Z$1,0))</f>
        <v>En proceso</v>
      </c>
    </row>
    <row r="96" spans="1:3" x14ac:dyDescent="0.2">
      <c r="A96" t="s">
        <v>69</v>
      </c>
      <c r="B96" t="s">
        <v>75</v>
      </c>
      <c r="C96" t="str">
        <f>INDEX(NORMATIVOS!$C$74:$Z$74,1,MATCH($B$3,NORMATIVOS!$C$1:$Z$1,0))</f>
        <v>En proceso</v>
      </c>
    </row>
    <row r="97" spans="1:3" x14ac:dyDescent="0.2">
      <c r="A97" t="s">
        <v>69</v>
      </c>
      <c r="B97" t="s">
        <v>68</v>
      </c>
      <c r="C97" t="str">
        <f>INDEX(NORMATIVOS!$C$75:$Z$75,1,MATCH($B$3,NORMATIVOS!$C$1:$Z$1,0))</f>
        <v>En proceso</v>
      </c>
    </row>
    <row r="98" spans="1:3" x14ac:dyDescent="0.2">
      <c r="A98" t="s">
        <v>69</v>
      </c>
      <c r="B98" t="s">
        <v>76</v>
      </c>
      <c r="C98" t="str">
        <f>INDEX(NORMATIVOS!$C$76:$Z$76,1,MATCH($B$3,NORMATIVOS!$C$1:$Z$1,0))</f>
        <v>Proyección</v>
      </c>
    </row>
    <row r="99" spans="1:3" x14ac:dyDescent="0.2">
      <c r="A99" t="s">
        <v>69</v>
      </c>
      <c r="B99" t="s">
        <v>77</v>
      </c>
      <c r="C99" t="str">
        <f>INDEX(NORMATIVOS!$C$77:$Z$77,1,MATCH($B$3,NORMATIVOS!$C$1:$Z$1,0))</f>
        <v>Proyección</v>
      </c>
    </row>
    <row r="100" spans="1:3" x14ac:dyDescent="0.2">
      <c r="A100" t="s">
        <v>69</v>
      </c>
      <c r="B100" t="s">
        <v>78</v>
      </c>
      <c r="C100" t="str">
        <f>INDEX(NORMATIVOS!$C$78:$Z$78,1,MATCH($B$3,NORMATIVOS!$C$1:$Z$1,0))</f>
        <v>Proyección</v>
      </c>
    </row>
    <row r="101" spans="1:3" x14ac:dyDescent="0.2">
      <c r="A101" t="s">
        <v>79</v>
      </c>
      <c r="B101" t="s">
        <v>80</v>
      </c>
      <c r="C101" t="str">
        <f>INDEX(NORMATIVOS!$C$79:$Z$79,1,MATCH($B$3,NORMATIVOS!$C$1:$Z$1,0))</f>
        <v>Consolidado</v>
      </c>
    </row>
    <row r="102" spans="1:3" x14ac:dyDescent="0.2">
      <c r="A102" t="s">
        <v>79</v>
      </c>
      <c r="B102" t="s">
        <v>81</v>
      </c>
      <c r="C102" t="str">
        <f>INDEX(NORMATIVOS!$C$80:$Z$80,1,MATCH($B$3,NORMATIVOS!$C$1:$Z$1,0))</f>
        <v>Consolidado</v>
      </c>
    </row>
    <row r="103" spans="1:3" x14ac:dyDescent="0.2">
      <c r="A103" t="s">
        <v>79</v>
      </c>
      <c r="B103" t="s">
        <v>82</v>
      </c>
      <c r="C103" t="str">
        <f>INDEX(NORMATIVOS!$C$81:$Z$81,1,MATCH($B$3,NORMATIVOS!$C$1:$Z$1,0))</f>
        <v>Consolidado</v>
      </c>
    </row>
    <row r="104" spans="1:3" x14ac:dyDescent="0.2">
      <c r="A104" t="s">
        <v>79</v>
      </c>
      <c r="B104" t="s">
        <v>83</v>
      </c>
      <c r="C104" t="str">
        <f>INDEX(NORMATIVOS!$C$82:$Z$82,1,MATCH($B$3,NORMATIVOS!$C$1:$Z$1,0))</f>
        <v>En proceso</v>
      </c>
    </row>
    <row r="105" spans="1:3" x14ac:dyDescent="0.2">
      <c r="A105" t="s">
        <v>79</v>
      </c>
      <c r="B105" t="s">
        <v>296</v>
      </c>
      <c r="C105" t="str">
        <f>INDEX(NORMATIVOS!$C$83:$Z$83,1,MATCH($B$3,NORMATIVOS!$C$1:$Z$1,0))</f>
        <v>En proceso</v>
      </c>
    </row>
    <row r="106" spans="1:3" x14ac:dyDescent="0.2">
      <c r="A106" t="s">
        <v>79</v>
      </c>
      <c r="B106" t="s">
        <v>85</v>
      </c>
      <c r="C106" t="str">
        <f>INDEX(NORMATIVOS!$C$84:$Z$84,1,MATCH($B$3,NORMATIVOS!$C$1:$Z$1,0))</f>
        <v>Proyección</v>
      </c>
    </row>
    <row r="107" spans="1:3" x14ac:dyDescent="0.2">
      <c r="A107" t="s">
        <v>79</v>
      </c>
      <c r="B107" t="s">
        <v>297</v>
      </c>
      <c r="C107" t="str">
        <f>INDEX(NORMATIVOS!$C$85:$Z$85,1,MATCH($B$3,NORMATIVOS!$C$1:$Z$1,0))</f>
        <v>Proyección</v>
      </c>
    </row>
    <row r="108" spans="1:3" x14ac:dyDescent="0.2">
      <c r="A108" t="s">
        <v>79</v>
      </c>
      <c r="B108" t="s">
        <v>87</v>
      </c>
      <c r="C108" t="str">
        <f>INDEX(NORMATIVOS!$C$86:$Z$86,1,MATCH($B$3,NORMATIVOS!$C$1:$Z$1,0))</f>
        <v>Proyección</v>
      </c>
    </row>
    <row r="109" spans="1:3" x14ac:dyDescent="0.2">
      <c r="A109" t="s">
        <v>79</v>
      </c>
      <c r="B109" t="s">
        <v>88</v>
      </c>
      <c r="C109" t="str">
        <f>INDEX(NORMATIVOS!$C$87:$Z$87,1,MATCH($B$3,NORMATIVOS!$C$1:$Z$1,0))</f>
        <v>Proyección</v>
      </c>
    </row>
    <row r="110" spans="1:3" x14ac:dyDescent="0.2">
      <c r="A110" t="s">
        <v>79</v>
      </c>
      <c r="B110" t="s">
        <v>89</v>
      </c>
      <c r="C110" t="str">
        <f>INDEX(NORMATIVOS!$C$88:$Z$88,1,MATCH($B$3,NORMATIVOS!$C$1:$Z$1,0))</f>
        <v>Proyección</v>
      </c>
    </row>
    <row r="111" spans="1:3" x14ac:dyDescent="0.2">
      <c r="A111" t="s">
        <v>79</v>
      </c>
      <c r="B111" t="s">
        <v>90</v>
      </c>
      <c r="C111" t="str">
        <f>INDEX(NORMATIVOS!$C$89:$Z$89,1,MATCH($B$3,NORMATIVOS!$C$1:$Z$1,0))</f>
        <v>Proyección</v>
      </c>
    </row>
    <row r="112" spans="1:3" x14ac:dyDescent="0.2">
      <c r="A112" t="s">
        <v>79</v>
      </c>
      <c r="B112" t="s">
        <v>62</v>
      </c>
      <c r="C112" t="str">
        <f>INDEX(NORMATIVOS!$C$90:$Z$90,1,MATCH($B$3,NORMATIVOS!$C$1:$Z$1,0))</f>
        <v>Proyección</v>
      </c>
    </row>
    <row r="113" spans="1:3" x14ac:dyDescent="0.2">
      <c r="A113" t="s">
        <v>79</v>
      </c>
      <c r="B113" t="s">
        <v>91</v>
      </c>
      <c r="C113" t="str">
        <f>INDEX(NORMATIVOS!$C$91:$Z$91,1,MATCH($B$3,NORMATIVOS!$C$1:$Z$1,0))</f>
        <v>Proyección</v>
      </c>
    </row>
    <row r="114" spans="1:3" x14ac:dyDescent="0.2">
      <c r="A114" t="s">
        <v>79</v>
      </c>
      <c r="B114" t="s">
        <v>92</v>
      </c>
      <c r="C114" t="str">
        <f>INDEX(NORMATIVOS!$C$92:$Z$92,1,MATCH($B$3,NORMATIVOS!$C$1:$Z$1,0))</f>
        <v>Proyección</v>
      </c>
    </row>
    <row r="115" spans="1:3" x14ac:dyDescent="0.2">
      <c r="A115" t="s">
        <v>79</v>
      </c>
      <c r="B115" t="s">
        <v>93</v>
      </c>
      <c r="C115" t="str">
        <f>INDEX(NORMATIVOS!$C$93:$Z$93,1,MATCH($B$3,NORMATIVOS!$C$1:$Z$1,0))</f>
        <v>Proyección</v>
      </c>
    </row>
    <row r="116" spans="1:3" x14ac:dyDescent="0.2">
      <c r="A116" t="s">
        <v>79</v>
      </c>
      <c r="B116" t="s">
        <v>94</v>
      </c>
      <c r="C116" t="str">
        <f>INDEX(NORMATIVOS!$C$94:$Z$94,1,MATCH($B$3,NORMATIVOS!$C$1:$Z$1,0))</f>
        <v>Proyección</v>
      </c>
    </row>
    <row r="117" spans="1:3" x14ac:dyDescent="0.2">
      <c r="A117" t="s">
        <v>79</v>
      </c>
      <c r="B117" t="s">
        <v>95</v>
      </c>
      <c r="C117" t="str">
        <f>INDEX(NORMATIVOS!$C$95:$Z$95,1,MATCH($B$3,NORMATIVOS!$C$1:$Z$1,0))</f>
        <v>Proyección</v>
      </c>
    </row>
    <row r="118" spans="1:3" x14ac:dyDescent="0.2">
      <c r="A118" t="s">
        <v>79</v>
      </c>
      <c r="B118" t="s">
        <v>77</v>
      </c>
      <c r="C118" t="str">
        <f>INDEX(NORMATIVOS!$C$96:$Z$96,1,MATCH($B$3,NORMATIVOS!$C$1:$Z$1,0))</f>
        <v>Proyección</v>
      </c>
    </row>
    <row r="119" spans="1:3" x14ac:dyDescent="0.2">
      <c r="A119" t="s">
        <v>79</v>
      </c>
      <c r="B119" t="s">
        <v>78</v>
      </c>
      <c r="C119" t="str">
        <f>INDEX(NORMATIVOS!$C$97:$Z$97,1,MATCH($B$3,NORMATIVOS!$C$1:$Z$1,0))</f>
        <v>Proyección</v>
      </c>
    </row>
    <row r="120" spans="1:3" x14ac:dyDescent="0.2">
      <c r="A120" t="s">
        <v>79</v>
      </c>
      <c r="B120" t="s">
        <v>97</v>
      </c>
      <c r="C120" t="str">
        <f>INDEX(NORMATIVOS!$C$98:$Z$98,1,MATCH($B$3,NORMATIVOS!$C$1:$Z$1,0))</f>
        <v>Proyección</v>
      </c>
    </row>
    <row r="121" spans="1:3" x14ac:dyDescent="0.2">
      <c r="A121" t="s">
        <v>79</v>
      </c>
      <c r="B121" t="s">
        <v>98</v>
      </c>
      <c r="C121" t="str">
        <f>INDEX(NORMATIVOS!$C$99:$Z$99,1,MATCH($B$3,NORMATIVOS!$C$1:$Z$1,0))</f>
        <v>Proyección</v>
      </c>
    </row>
    <row r="122" spans="1:3" x14ac:dyDescent="0.2">
      <c r="A122" t="s">
        <v>79</v>
      </c>
      <c r="B122" t="s">
        <v>99</v>
      </c>
      <c r="C122" t="str">
        <f>INDEX(NORMATIVOS!$C$100:$Z$100,1,MATCH($B$3,NORMATIVOS!$C$1:$Z$1,0))</f>
        <v>Proyección</v>
      </c>
    </row>
    <row r="123" spans="1:3" x14ac:dyDescent="0.2">
      <c r="A123" t="s">
        <v>79</v>
      </c>
      <c r="B123" t="s">
        <v>100</v>
      </c>
      <c r="C123" t="str">
        <f>INDEX(NORMATIVOS!$C$101:$Z$101,1,MATCH($B$3,NORMATIVOS!$C$1:$Z$1,0))</f>
        <v>Proyección</v>
      </c>
    </row>
    <row r="124" spans="1:3" x14ac:dyDescent="0.2">
      <c r="A124" t="s">
        <v>79</v>
      </c>
      <c r="B124" t="s">
        <v>101</v>
      </c>
      <c r="C124" t="str">
        <f>INDEX(NORMATIVOS!$C$102:$Z$102,1,MATCH($B$3,NORMATIVOS!$C$1:$Z$1,0))</f>
        <v>Proyección</v>
      </c>
    </row>
    <row r="125" spans="1:3" x14ac:dyDescent="0.2">
      <c r="A125" t="s">
        <v>79</v>
      </c>
      <c r="B125" t="s">
        <v>102</v>
      </c>
      <c r="C125" t="str">
        <f>INDEX(NORMATIVOS!$C$103:$Z$103,1,MATCH($B$3,NORMATIVOS!$C$1:$Z$1,0))</f>
        <v>Proyección</v>
      </c>
    </row>
    <row r="126" spans="1:3" x14ac:dyDescent="0.2">
      <c r="A126" t="s">
        <v>79</v>
      </c>
      <c r="B126" t="s">
        <v>103</v>
      </c>
      <c r="C126" t="str">
        <f>INDEX(NORMATIVOS!$C$104:$Z$104,1,MATCH($B$3,NORMATIVOS!$C$1:$Z$1,0))</f>
        <v>Proyección</v>
      </c>
    </row>
    <row r="127" spans="1:3" x14ac:dyDescent="0.2">
      <c r="A127" t="s">
        <v>105</v>
      </c>
      <c r="B127" t="s">
        <v>106</v>
      </c>
      <c r="C127" t="str">
        <f>INDEX(NORMATIVOS!$C$107:$Z$107,1,MATCH($B$3,NORMATIVOS!$C$1:$Z$1,0))</f>
        <v>Consolidado</v>
      </c>
    </row>
    <row r="128" spans="1:3" x14ac:dyDescent="0.2">
      <c r="A128" t="s">
        <v>105</v>
      </c>
      <c r="B128" t="s">
        <v>107</v>
      </c>
      <c r="C128" t="str">
        <f>INDEX(NORMATIVOS!$C$108:$Z$108,1,MATCH($B$3,NORMATIVOS!$C$1:$Z$1,0))</f>
        <v>Consolidado</v>
      </c>
    </row>
    <row r="129" spans="1:3" x14ac:dyDescent="0.2">
      <c r="A129" t="s">
        <v>105</v>
      </c>
      <c r="B129" t="s">
        <v>108</v>
      </c>
      <c r="C129" t="str">
        <f>INDEX(NORMATIVOS!$C$109:$Z$109,1,MATCH($B$3,NORMATIVOS!$C$1:$Z$1,0))</f>
        <v>Consolidado</v>
      </c>
    </row>
    <row r="130" spans="1:3" x14ac:dyDescent="0.2">
      <c r="A130" t="s">
        <v>105</v>
      </c>
      <c r="B130" t="s">
        <v>298</v>
      </c>
      <c r="C130" t="str">
        <f>INDEX(NORMATIVOS!$C$110:$Z$110,1,MATCH($B$3,NORMATIVOS!$C$1:$Z$1,0))</f>
        <v>Consolidado</v>
      </c>
    </row>
    <row r="131" spans="1:3" x14ac:dyDescent="0.2">
      <c r="A131" t="s">
        <v>105</v>
      </c>
      <c r="B131" t="s">
        <v>110</v>
      </c>
      <c r="C131" t="str">
        <f>INDEX(NORMATIVOS!$C$111:$Z$111,1,MATCH($B$3,NORMATIVOS!$C$1:$Z$1,0))</f>
        <v>Consolidado</v>
      </c>
    </row>
    <row r="132" spans="1:3" x14ac:dyDescent="0.2">
      <c r="A132" t="s">
        <v>105</v>
      </c>
      <c r="B132" t="s">
        <v>111</v>
      </c>
      <c r="C132" t="str">
        <f>INDEX(NORMATIVOS!$C$112:$Z$112,1,MATCH($B$3,NORMATIVOS!$C$1:$Z$1,0))</f>
        <v>Consolidado</v>
      </c>
    </row>
    <row r="133" spans="1:3" x14ac:dyDescent="0.2">
      <c r="A133" t="s">
        <v>105</v>
      </c>
      <c r="B133" t="s">
        <v>112</v>
      </c>
      <c r="C133" t="str">
        <f>INDEX(NORMATIVOS!$C$113:$Z$113,1,MATCH($B$3,NORMATIVOS!$C$1:$Z$1,0))</f>
        <v>Consolidado</v>
      </c>
    </row>
    <row r="134" spans="1:3" x14ac:dyDescent="0.2">
      <c r="A134" t="s">
        <v>105</v>
      </c>
      <c r="B134" t="s">
        <v>5</v>
      </c>
      <c r="C134" t="str">
        <f>INDEX(NORMATIVOS!$C$114:$Z$114,1,MATCH($B$3,NORMATIVOS!$C$1:$Z$1,0))</f>
        <v>Consolidado</v>
      </c>
    </row>
    <row r="135" spans="1:3" x14ac:dyDescent="0.2">
      <c r="A135" t="s">
        <v>105</v>
      </c>
      <c r="B135" t="s">
        <v>113</v>
      </c>
      <c r="C135" t="str">
        <f>INDEX(NORMATIVOS!$C$115:$Z$115,1,MATCH($B$3,NORMATIVOS!$C$1:$Z$1,0))</f>
        <v>En proceso</v>
      </c>
    </row>
    <row r="136" spans="1:3" x14ac:dyDescent="0.2">
      <c r="A136" t="s">
        <v>105</v>
      </c>
      <c r="B136" t="s">
        <v>299</v>
      </c>
      <c r="C136" t="str">
        <f>INDEX(NORMATIVOS!$C$116:$Z$116,1,MATCH($B$3,NORMATIVOS!$C$1:$Z$1,0))</f>
        <v>Consolidado</v>
      </c>
    </row>
    <row r="137" spans="1:3" x14ac:dyDescent="0.2">
      <c r="A137" t="s">
        <v>105</v>
      </c>
      <c r="B137" t="s">
        <v>115</v>
      </c>
      <c r="C137" t="str">
        <f>INDEX(NORMATIVOS!$C$117:$Z$117,1,MATCH($B$3,NORMATIVOS!$C$1:$Z$1,0))</f>
        <v>En proceso</v>
      </c>
    </row>
    <row r="138" spans="1:3" x14ac:dyDescent="0.2">
      <c r="A138" t="s">
        <v>105</v>
      </c>
      <c r="B138" t="s">
        <v>116</v>
      </c>
      <c r="C138" t="str">
        <f>INDEX(NORMATIVOS!$C$118:$Z$118,1,MATCH($B$3,NORMATIVOS!$C$1:$Z$1,0))</f>
        <v>En proceso</v>
      </c>
    </row>
    <row r="139" spans="1:3" x14ac:dyDescent="0.2">
      <c r="A139" t="s">
        <v>105</v>
      </c>
      <c r="B139" t="s">
        <v>117</v>
      </c>
      <c r="C139" t="str">
        <f>INDEX(NORMATIVOS!$C$119:$Z$119,1,MATCH($B$3,NORMATIVOS!$C$1:$Z$1,0))</f>
        <v>Proyección</v>
      </c>
    </row>
    <row r="140" spans="1:3" x14ac:dyDescent="0.2">
      <c r="A140" t="s">
        <v>105</v>
      </c>
      <c r="B140" t="s">
        <v>118</v>
      </c>
      <c r="C140" t="str">
        <f>INDEX(NORMATIVOS!$C$120:$Z$120,1,MATCH($B$3,NORMATIVOS!$C$1:$Z$1,0))</f>
        <v>Proyección</v>
      </c>
    </row>
    <row r="141" spans="1:3" x14ac:dyDescent="0.2">
      <c r="A141" t="s">
        <v>105</v>
      </c>
      <c r="B141" t="s">
        <v>119</v>
      </c>
      <c r="C141" t="str">
        <f>INDEX(NORMATIVOS!$C$121:$Z$121,1,MATCH($B$3,NORMATIVOS!$C$1:$Z$1,0))</f>
        <v>Proyección</v>
      </c>
    </row>
    <row r="142" spans="1:3" x14ac:dyDescent="0.2">
      <c r="A142" t="s">
        <v>120</v>
      </c>
      <c r="B142" t="s">
        <v>121</v>
      </c>
      <c r="C142" t="str">
        <f>INDEX(NORMATIVOS!$C$122:$Z$122,1,MATCH($B$3,NORMATIVOS!$C$1:$Z$1,0))</f>
        <v>Consolidado</v>
      </c>
    </row>
    <row r="143" spans="1:3" x14ac:dyDescent="0.2">
      <c r="A143" t="s">
        <v>120</v>
      </c>
      <c r="B143" t="s">
        <v>300</v>
      </c>
      <c r="C143" t="str">
        <f>INDEX(NORMATIVOS!$C$123:$Z$123,1,MATCH($B$3,NORMATIVOS!$C$1:$Z$1,0))</f>
        <v>En proceso</v>
      </c>
    </row>
    <row r="144" spans="1:3" x14ac:dyDescent="0.2">
      <c r="A144" t="s">
        <v>120</v>
      </c>
      <c r="B144" t="s">
        <v>123</v>
      </c>
      <c r="C144" t="str">
        <f>INDEX(NORMATIVOS!$C$124:$Z$124,1,MATCH($B$3,NORMATIVOS!$C$1:$Z$1,0))</f>
        <v>En proceso</v>
      </c>
    </row>
    <row r="145" spans="1:3" x14ac:dyDescent="0.2">
      <c r="A145" t="s">
        <v>120</v>
      </c>
      <c r="B145" t="s">
        <v>124</v>
      </c>
      <c r="C145" t="str">
        <f>INDEX(NORMATIVOS!$C$125:$Z$125,1,MATCH($B$3,NORMATIVOS!$C$1:$Z$1,0))</f>
        <v>En proceso</v>
      </c>
    </row>
    <row r="146" spans="1:3" x14ac:dyDescent="0.2">
      <c r="A146" t="s">
        <v>120</v>
      </c>
      <c r="B146" t="s">
        <v>125</v>
      </c>
      <c r="C146" t="str">
        <f>INDEX(NORMATIVOS!$C$126:$Z$126,1,MATCH($B$3,NORMATIVOS!$C$1:$Z$1,0))</f>
        <v>En proceso</v>
      </c>
    </row>
    <row r="147" spans="1:3" x14ac:dyDescent="0.2">
      <c r="A147" t="s">
        <v>120</v>
      </c>
      <c r="B147" t="s">
        <v>126</v>
      </c>
      <c r="C147" t="str">
        <f>INDEX(NORMATIVOS!$C$127:$Z$127,1,MATCH($B$3,NORMATIVOS!$C$1:$Z$1,0))</f>
        <v>Consolidado</v>
      </c>
    </row>
    <row r="148" spans="1:3" x14ac:dyDescent="0.2">
      <c r="A148" t="s">
        <v>120</v>
      </c>
      <c r="B148" t="s">
        <v>127</v>
      </c>
      <c r="C148" t="str">
        <f>INDEX(NORMATIVOS!$C$128:$Z$128,1,MATCH($B$3,NORMATIVOS!$C$1:$Z$1,0))</f>
        <v>En proceso</v>
      </c>
    </row>
    <row r="149" spans="1:3" x14ac:dyDescent="0.2">
      <c r="A149" t="s">
        <v>120</v>
      </c>
      <c r="B149" t="s">
        <v>301</v>
      </c>
      <c r="C149" t="str">
        <f>INDEX(NORMATIVOS!$C$129:$Z$129,1,MATCH($B$3,NORMATIVOS!$C$1:$Z$1,0))</f>
        <v>Consolidado</v>
      </c>
    </row>
    <row r="150" spans="1:3" x14ac:dyDescent="0.2">
      <c r="A150" t="s">
        <v>120</v>
      </c>
      <c r="B150" t="s">
        <v>129</v>
      </c>
      <c r="C150" t="str">
        <f>INDEX(NORMATIVOS!$C$130:$Z$130,1,MATCH($B$3,NORMATIVOS!$C$1:$Z$1,0))</f>
        <v>En proceso</v>
      </c>
    </row>
    <row r="151" spans="1:3" x14ac:dyDescent="0.2">
      <c r="A151" t="s">
        <v>120</v>
      </c>
      <c r="B151" t="s">
        <v>130</v>
      </c>
      <c r="C151" t="str">
        <f>INDEX(NORMATIVOS!$C$131:$Z$131,1,MATCH($B$3,NORMATIVOS!$C$1:$Z$1,0))</f>
        <v>En proceso</v>
      </c>
    </row>
    <row r="152" spans="1:3" x14ac:dyDescent="0.2">
      <c r="A152" t="s">
        <v>120</v>
      </c>
      <c r="B152" t="s">
        <v>131</v>
      </c>
      <c r="C152" t="str">
        <f>INDEX(NORMATIVOS!$C$132:$Z$132,1,MATCH($B$3,NORMATIVOS!$C$1:$Z$1,0))</f>
        <v>Consolidado</v>
      </c>
    </row>
    <row r="153" spans="1:3" x14ac:dyDescent="0.2">
      <c r="A153" t="s">
        <v>120</v>
      </c>
      <c r="B153" t="s">
        <v>302</v>
      </c>
      <c r="C153" t="str">
        <f>INDEX(NORMATIVOS!$C$133:$Z$133,1,MATCH($B$3,NORMATIVOS!$C$1:$Z$1,0))</f>
        <v>En proceso</v>
      </c>
    </row>
    <row r="154" spans="1:3" x14ac:dyDescent="0.2">
      <c r="A154" t="s">
        <v>120</v>
      </c>
      <c r="B154" t="s">
        <v>303</v>
      </c>
      <c r="C154" t="str">
        <f>INDEX(NORMATIVOS!$C$134:$Z$134,1,MATCH($B$3,NORMATIVOS!$C$1:$Z$1,0))</f>
        <v>Consolidado</v>
      </c>
    </row>
    <row r="155" spans="1:3" x14ac:dyDescent="0.2">
      <c r="A155" t="s">
        <v>120</v>
      </c>
      <c r="B155" t="s">
        <v>134</v>
      </c>
      <c r="C155" t="str">
        <f>INDEX(NORMATIVOS!$C$135:$Z$135,1,MATCH($B$3,NORMATIVOS!$C$1:$Z$1,0))</f>
        <v>Proyección</v>
      </c>
    </row>
    <row r="156" spans="1:3" x14ac:dyDescent="0.2">
      <c r="A156" t="s">
        <v>120</v>
      </c>
      <c r="B156" t="s">
        <v>135</v>
      </c>
      <c r="C156" t="str">
        <f>INDEX(NORMATIVOS!$C$136:$Z$136,1,MATCH($B$3,NORMATIVOS!$C$1:$Z$1,0))</f>
        <v>Proyección</v>
      </c>
    </row>
    <row r="157" spans="1:3" x14ac:dyDescent="0.2">
      <c r="A157" t="s">
        <v>120</v>
      </c>
      <c r="B157" t="s">
        <v>136</v>
      </c>
      <c r="C157" t="str">
        <f>INDEX(NORMATIVOS!$C$137:$Z$137,1,MATCH($B$3,NORMATIVOS!$C$1:$Z$1,0))</f>
        <v>Proyección</v>
      </c>
    </row>
    <row r="158" spans="1:3" x14ac:dyDescent="0.2">
      <c r="A158" t="s">
        <v>120</v>
      </c>
      <c r="B158" t="s">
        <v>137</v>
      </c>
      <c r="C158" t="str">
        <f>INDEX(NORMATIVOS!$C$138:$Z$138,1,MATCH($B$3,NORMATIVOS!$C$1:$Z$1,0))</f>
        <v>Proyección</v>
      </c>
    </row>
    <row r="159" spans="1:3" x14ac:dyDescent="0.2">
      <c r="A159" t="s">
        <v>120</v>
      </c>
      <c r="B159" t="s">
        <v>138</v>
      </c>
      <c r="C159" t="str">
        <f>INDEX(NORMATIVOS!$C$139:$Z$139,1,MATCH($B$3,NORMATIVOS!$C$1:$Z$1,0))</f>
        <v>Proyección</v>
      </c>
    </row>
    <row r="160" spans="1:3" x14ac:dyDescent="0.2">
      <c r="A160" t="s">
        <v>120</v>
      </c>
      <c r="B160" t="s">
        <v>139</v>
      </c>
      <c r="C160" t="str">
        <f>INDEX(NORMATIVOS!$C$140:$Z$140,1,MATCH($B$3,NORMATIVOS!$C$1:$Z$1,0))</f>
        <v>Proyección</v>
      </c>
    </row>
    <row r="161" spans="1:3" x14ac:dyDescent="0.2">
      <c r="A161" t="s">
        <v>120</v>
      </c>
      <c r="B161" t="s">
        <v>140</v>
      </c>
      <c r="C161" t="str">
        <f>INDEX(NORMATIVOS!$C$141:$Z$141,1,MATCH($B$3,NORMATIVOS!$C$1:$Z$1,0))</f>
        <v>Proyección</v>
      </c>
    </row>
    <row r="162" spans="1:3" x14ac:dyDescent="0.2">
      <c r="A162" t="s">
        <v>142</v>
      </c>
      <c r="B162" t="s">
        <v>143</v>
      </c>
      <c r="C162" t="str">
        <f>INDEX(NORMATIVOS!$C$144:$Z$144,1,MATCH($B$3,NORMATIVOS!$C$1:$Z$1,0))</f>
        <v>Consolidado</v>
      </c>
    </row>
    <row r="163" spans="1:3" x14ac:dyDescent="0.2">
      <c r="A163" t="s">
        <v>142</v>
      </c>
      <c r="B163" t="s">
        <v>304</v>
      </c>
      <c r="C163" t="str">
        <f>INDEX(NORMATIVOS!$C$145:$Z$145,1,MATCH($B$3,NORMATIVOS!$C$1:$Z$1,0))</f>
        <v>Consolidado</v>
      </c>
    </row>
    <row r="164" spans="1:3" x14ac:dyDescent="0.2">
      <c r="A164" t="s">
        <v>142</v>
      </c>
      <c r="B164" t="s">
        <v>305</v>
      </c>
      <c r="C164" t="str">
        <f>INDEX(NORMATIVOS!$C$146:$Z$146,1,MATCH($B$3,NORMATIVOS!$C$1:$Z$1,0))</f>
        <v>Consolidado</v>
      </c>
    </row>
    <row r="165" spans="1:3" x14ac:dyDescent="0.2">
      <c r="A165" t="s">
        <v>142</v>
      </c>
      <c r="B165" t="s">
        <v>146</v>
      </c>
      <c r="C165" t="str">
        <f>INDEX(NORMATIVOS!$C$147:$Z$147,1,MATCH($B$3,NORMATIVOS!$C$1:$Z$1,0))</f>
        <v>Consolidado</v>
      </c>
    </row>
    <row r="166" spans="1:3" x14ac:dyDescent="0.2">
      <c r="A166" t="s">
        <v>142</v>
      </c>
      <c r="B166" t="s">
        <v>147</v>
      </c>
      <c r="C166" t="str">
        <f>INDEX(NORMATIVOS!$C$148:$Z$148,1,MATCH($B$3,NORMATIVOS!$C$1:$Z$1,0))</f>
        <v>Consolidado</v>
      </c>
    </row>
    <row r="167" spans="1:3" x14ac:dyDescent="0.2">
      <c r="A167" t="s">
        <v>142</v>
      </c>
      <c r="B167" t="s">
        <v>148</v>
      </c>
      <c r="C167" t="str">
        <f>INDEX(NORMATIVOS!$C$149:$Z$149,1,MATCH($B$3,NORMATIVOS!$C$1:$Z$1,0))</f>
        <v>Consolidado</v>
      </c>
    </row>
    <row r="168" spans="1:3" x14ac:dyDescent="0.2">
      <c r="A168" t="s">
        <v>142</v>
      </c>
      <c r="B168" t="s">
        <v>149</v>
      </c>
      <c r="C168" t="str">
        <f>INDEX(NORMATIVOS!$C$150:$Z$150,1,MATCH($B$3,NORMATIVOS!$C$1:$Z$1,0))</f>
        <v>Consolidado</v>
      </c>
    </row>
    <row r="169" spans="1:3" x14ac:dyDescent="0.2">
      <c r="A169" t="s">
        <v>150</v>
      </c>
      <c r="B169" t="s">
        <v>151</v>
      </c>
      <c r="C169" t="str">
        <f>INDEX(NORMATIVOS!$C$151:$Z$151,1,MATCH($B$3,NORMATIVOS!$C$1:$Z$1,0))</f>
        <v>Consolidado</v>
      </c>
    </row>
    <row r="170" spans="1:3" x14ac:dyDescent="0.2">
      <c r="A170" t="s">
        <v>150</v>
      </c>
      <c r="B170" t="s">
        <v>21</v>
      </c>
      <c r="C170" t="str">
        <f>INDEX(NORMATIVOS!$C$152:$Z$152,1,MATCH($B$3,NORMATIVOS!$C$1:$Z$1,0))</f>
        <v>Consolidado</v>
      </c>
    </row>
    <row r="171" spans="1:3" x14ac:dyDescent="0.2">
      <c r="A171" t="s">
        <v>150</v>
      </c>
      <c r="B171" t="s">
        <v>152</v>
      </c>
      <c r="C171" t="str">
        <f>INDEX(NORMATIVOS!$C$153:$Z$153,1,MATCH($B$3,NORMATIVOS!$C$1:$Z$1,0))</f>
        <v>Consolidado</v>
      </c>
    </row>
    <row r="172" spans="1:3" x14ac:dyDescent="0.2">
      <c r="A172" t="s">
        <v>150</v>
      </c>
      <c r="B172" t="s">
        <v>153</v>
      </c>
      <c r="C172" t="str">
        <f>INDEX(NORMATIVOS!$C$154:$Z$154,1,MATCH($B$3,NORMATIVOS!$C$1:$Z$1,0))</f>
        <v>Consolidado</v>
      </c>
    </row>
    <row r="173" spans="1:3" x14ac:dyDescent="0.2">
      <c r="A173" t="s">
        <v>150</v>
      </c>
      <c r="B173" t="s">
        <v>154</v>
      </c>
      <c r="C173" t="str">
        <f>INDEX(NORMATIVOS!$C$155:$Z$155,1,MATCH($B$3,NORMATIVOS!$C$1:$Z$1,0))</f>
        <v>En proceso</v>
      </c>
    </row>
    <row r="174" spans="1:3" x14ac:dyDescent="0.2">
      <c r="A174" t="s">
        <v>150</v>
      </c>
      <c r="B174" t="s">
        <v>155</v>
      </c>
      <c r="C174" t="str">
        <f>INDEX(NORMATIVOS!$C$156:$Z$156,1,MATCH($B$3,NORMATIVOS!$C$1:$Z$1,0))</f>
        <v>En proceso</v>
      </c>
    </row>
    <row r="175" spans="1:3" x14ac:dyDescent="0.2">
      <c r="A175" t="s">
        <v>150</v>
      </c>
      <c r="B175" t="s">
        <v>156</v>
      </c>
      <c r="C175" t="str">
        <f>INDEX(NORMATIVOS!$C$157:$Z$157,1,MATCH($B$3,NORMATIVOS!$C$1:$Z$1,0))</f>
        <v>En proceso</v>
      </c>
    </row>
    <row r="176" spans="1:3" x14ac:dyDescent="0.2">
      <c r="A176" t="s">
        <v>150</v>
      </c>
      <c r="B176" t="s">
        <v>157</v>
      </c>
      <c r="C176" t="str">
        <f>INDEX(NORMATIVOS!$C$158:$Z$158,1,MATCH($B$3,NORMATIVOS!$C$1:$Z$1,0))</f>
        <v>Proyección</v>
      </c>
    </row>
    <row r="177" spans="1:3" x14ac:dyDescent="0.2">
      <c r="A177" t="s">
        <v>150</v>
      </c>
      <c r="B177" t="s">
        <v>306</v>
      </c>
      <c r="C177" t="str">
        <f>INDEX(NORMATIVOS!$C$159:$Z$159,1,MATCH($B$3,NORMATIVOS!$C$1:$Z$1,0))</f>
        <v>Proyección</v>
      </c>
    </row>
    <row r="178" spans="1:3" x14ac:dyDescent="0.2">
      <c r="A178" t="s">
        <v>150</v>
      </c>
      <c r="B178" t="s">
        <v>159</v>
      </c>
      <c r="C178" t="str">
        <f>INDEX(NORMATIVOS!$C$160:$Z$160,1,MATCH($B$3,NORMATIVOS!$C$1:$Z$1,0))</f>
        <v>Proyección</v>
      </c>
    </row>
    <row r="179" spans="1:3" x14ac:dyDescent="0.2">
      <c r="A179" t="s">
        <v>150</v>
      </c>
      <c r="B179" t="s">
        <v>160</v>
      </c>
      <c r="C179" t="str">
        <f>INDEX(NORMATIVOS!$C$161:$Z$161,1,MATCH($B$3,NORMATIVOS!$C$1:$Z$1,0))</f>
        <v>Proyección</v>
      </c>
    </row>
    <row r="180" spans="1:3" x14ac:dyDescent="0.2">
      <c r="A180" t="s">
        <v>150</v>
      </c>
      <c r="B180" t="s">
        <v>161</v>
      </c>
      <c r="C180" t="str">
        <f>INDEX(NORMATIVOS!$C$162:$Z$162,1,MATCH($B$3,NORMATIVOS!$C$1:$Z$1,0))</f>
        <v>Proyección</v>
      </c>
    </row>
    <row r="181" spans="1:3" x14ac:dyDescent="0.2">
      <c r="A181" t="s">
        <v>150</v>
      </c>
      <c r="B181" t="s">
        <v>162</v>
      </c>
      <c r="C181" t="str">
        <f>INDEX(NORMATIVOS!$C$163:$Z$163,1,MATCH($B$3,NORMATIVOS!$C$1:$Z$1,0))</f>
        <v>Proyección</v>
      </c>
    </row>
    <row r="182" spans="1:3" x14ac:dyDescent="0.2">
      <c r="A182" t="s">
        <v>150</v>
      </c>
      <c r="B182" t="s">
        <v>163</v>
      </c>
      <c r="C182" t="str">
        <f>INDEX(NORMATIVOS!$C$164:$Z$164,1,MATCH($B$3,NORMATIVOS!$C$1:$Z$1,0))</f>
        <v>Proyección</v>
      </c>
    </row>
    <row r="183" spans="1:3" x14ac:dyDescent="0.2">
      <c r="A183" t="s">
        <v>150</v>
      </c>
      <c r="B183" t="s">
        <v>164</v>
      </c>
      <c r="C183" t="str">
        <f>INDEX(NORMATIVOS!$C$165:$Z$165,1,MATCH($B$3,NORMATIVOS!$C$1:$Z$1,0))</f>
        <v>Proyección</v>
      </c>
    </row>
    <row r="184" spans="1:3" x14ac:dyDescent="0.2">
      <c r="A184" t="s">
        <v>150</v>
      </c>
      <c r="B184" t="s">
        <v>165</v>
      </c>
      <c r="C184" t="str">
        <f>INDEX(NORMATIVOS!$C$166:$Z$166,1,MATCH($B$3,NORMATIVOS!$C$1:$Z$1,0))</f>
        <v>Proyección</v>
      </c>
    </row>
    <row r="185" spans="1:3" x14ac:dyDescent="0.2">
      <c r="A185" t="s">
        <v>150</v>
      </c>
      <c r="B185" t="s">
        <v>166</v>
      </c>
      <c r="C185" t="str">
        <f>INDEX(NORMATIVOS!$C$167:$Z$167,1,MATCH($B$3,NORMATIVOS!$C$1:$Z$1,0))</f>
        <v>Proyección</v>
      </c>
    </row>
    <row r="186" spans="1:3" x14ac:dyDescent="0.2">
      <c r="A186" t="s">
        <v>150</v>
      </c>
      <c r="B186" t="s">
        <v>167</v>
      </c>
      <c r="C186" t="str">
        <f>INDEX(NORMATIVOS!$C$168:$Z$168,1,MATCH($B$3,NORMATIVOS!$C$1:$Z$1,0))</f>
        <v>Proyección</v>
      </c>
    </row>
    <row r="187" spans="1:3" x14ac:dyDescent="0.2">
      <c r="A187" t="s">
        <v>150</v>
      </c>
      <c r="B187" t="s">
        <v>168</v>
      </c>
      <c r="C187" t="str">
        <f>INDEX(NORMATIVOS!$C$169:$Z$169,1,MATCH($B$3,NORMATIVOS!$C$1:$Z$1,0))</f>
        <v>Proyección</v>
      </c>
    </row>
    <row r="188" spans="1:3" x14ac:dyDescent="0.2">
      <c r="A188" t="s">
        <v>150</v>
      </c>
      <c r="B188" t="s">
        <v>169</v>
      </c>
      <c r="C188" t="str">
        <f>INDEX(NORMATIVOS!$C$170:$Z$170,1,MATCH($B$3,NORMATIVOS!$C$1:$Z$1,0))</f>
        <v>Proyección</v>
      </c>
    </row>
    <row r="189" spans="1:3" x14ac:dyDescent="0.2">
      <c r="A189" t="s">
        <v>150</v>
      </c>
      <c r="B189" t="s">
        <v>170</v>
      </c>
      <c r="C189" t="str">
        <f>INDEX(NORMATIVOS!$C$171:$Z$171,1,MATCH($B$3,NORMATIVOS!$C$1:$Z$1,0))</f>
        <v>Proyección</v>
      </c>
    </row>
    <row r="190" spans="1:3" x14ac:dyDescent="0.2">
      <c r="A190" t="s">
        <v>150</v>
      </c>
      <c r="B190" t="s">
        <v>171</v>
      </c>
      <c r="C190" t="str">
        <f>INDEX(NORMATIVOS!$C$172:$Z$172,1,MATCH($B$3,NORMATIVOS!$C$1:$Z$1,0))</f>
        <v>Proyección</v>
      </c>
    </row>
    <row r="191" spans="1:3" x14ac:dyDescent="0.2">
      <c r="A191" t="s">
        <v>278</v>
      </c>
      <c r="B191" t="s">
        <v>174</v>
      </c>
      <c r="C191" t="str">
        <f>INDEX(NORMATIVOS!$C$175:$Z$175,1,MATCH($B$3,NORMATIVOS!$C$1:$Z$1,0))</f>
        <v>Consolidado</v>
      </c>
    </row>
    <row r="192" spans="1:3" x14ac:dyDescent="0.2">
      <c r="A192" t="s">
        <v>278</v>
      </c>
      <c r="B192" t="s">
        <v>307</v>
      </c>
      <c r="C192" t="str">
        <f>INDEX(NORMATIVOS!$C$176:$Z$176,1,MATCH($B$3,NORMATIVOS!$C$1:$Z$1,0))</f>
        <v>Consolidado</v>
      </c>
    </row>
    <row r="193" spans="1:3" x14ac:dyDescent="0.2">
      <c r="A193" t="s">
        <v>278</v>
      </c>
      <c r="B193" t="s">
        <v>308</v>
      </c>
      <c r="C193" t="str">
        <f>INDEX(NORMATIVOS!$C$177:$Z$177,1,MATCH($B$3,NORMATIVOS!$C$1:$Z$1,0))</f>
        <v>Consolidado</v>
      </c>
    </row>
    <row r="194" spans="1:3" x14ac:dyDescent="0.2">
      <c r="A194" t="s">
        <v>278</v>
      </c>
      <c r="B194" t="s">
        <v>177</v>
      </c>
      <c r="C194" t="str">
        <f>INDEX(NORMATIVOS!$C$178:$Z$178,1,MATCH($B$3,NORMATIVOS!$C$1:$Z$1,0))</f>
        <v>Consolidado</v>
      </c>
    </row>
    <row r="195" spans="1:3" x14ac:dyDescent="0.2">
      <c r="A195" t="s">
        <v>278</v>
      </c>
      <c r="B195" t="s">
        <v>178</v>
      </c>
      <c r="C195" t="str">
        <f>INDEX(NORMATIVOS!$C$179:$Z$179,1,MATCH($B$3,NORMATIVOS!$C$1:$Z$1,0))</f>
        <v>Consolidado</v>
      </c>
    </row>
    <row r="196" spans="1:3" x14ac:dyDescent="0.2">
      <c r="A196" t="s">
        <v>278</v>
      </c>
      <c r="B196" t="s">
        <v>124</v>
      </c>
      <c r="C196" t="str">
        <f>INDEX(NORMATIVOS!$C$180:$Z$180,1,MATCH($B$3,NORMATIVOS!$C$1:$Z$1,0))</f>
        <v>Consolidado</v>
      </c>
    </row>
    <row r="197" spans="1:3" x14ac:dyDescent="0.2">
      <c r="A197" t="s">
        <v>278</v>
      </c>
      <c r="B197" t="s">
        <v>179</v>
      </c>
      <c r="C197" t="str">
        <f>INDEX(NORMATIVOS!$C$181:$Z$181,1,MATCH($B$3,NORMATIVOS!$C$1:$Z$1,0))</f>
        <v>Consolidado</v>
      </c>
    </row>
    <row r="198" spans="1:3" x14ac:dyDescent="0.2">
      <c r="A198" t="s">
        <v>278</v>
      </c>
      <c r="B198" t="s">
        <v>180</v>
      </c>
      <c r="C198" t="str">
        <f>INDEX(NORMATIVOS!$C$182:$Z$182,1,MATCH($B$3,NORMATIVOS!$C$1:$Z$1,0))</f>
        <v>Consolidado</v>
      </c>
    </row>
    <row r="199" spans="1:3" x14ac:dyDescent="0.2">
      <c r="A199" t="s">
        <v>278</v>
      </c>
      <c r="B199" t="s">
        <v>181</v>
      </c>
      <c r="C199" t="str">
        <f>INDEX(NORMATIVOS!$C$183:$Z$183,1,MATCH($B$3,NORMATIVOS!$C$1:$Z$1,0))</f>
        <v>Consolidado</v>
      </c>
    </row>
    <row r="200" spans="1:3" x14ac:dyDescent="0.2">
      <c r="A200" t="s">
        <v>278</v>
      </c>
      <c r="B200" t="s">
        <v>182</v>
      </c>
      <c r="C200" t="str">
        <f>INDEX(NORMATIVOS!$C$184:$Z$184,1,MATCH($B$3,NORMATIVOS!$C$1:$Z$1,0))</f>
        <v>Proyección</v>
      </c>
    </row>
    <row r="201" spans="1:3" x14ac:dyDescent="0.2">
      <c r="A201" t="s">
        <v>278</v>
      </c>
      <c r="B201" t="s">
        <v>183</v>
      </c>
      <c r="C201" t="str">
        <f>INDEX(NORMATIVOS!$C$185:$Z$185,1,MATCH($B$3,NORMATIVOS!$C$1:$Z$1,0))</f>
        <v>Proyección</v>
      </c>
    </row>
    <row r="202" spans="1:3" x14ac:dyDescent="0.2">
      <c r="A202" t="s">
        <v>278</v>
      </c>
      <c r="B202" t="s">
        <v>184</v>
      </c>
      <c r="C202" t="str">
        <f>INDEX(NORMATIVOS!$C$186:$Z$186,1,MATCH($B$3,NORMATIVOS!$C$1:$Z$1,0))</f>
        <v>Proyección</v>
      </c>
    </row>
    <row r="203" spans="1:3" x14ac:dyDescent="0.2">
      <c r="A203" t="s">
        <v>278</v>
      </c>
      <c r="B203" t="s">
        <v>135</v>
      </c>
      <c r="C203" t="str">
        <f>INDEX(NORMATIVOS!$C$187:$Z$187,1,MATCH($B$3,NORMATIVOS!$C$1:$Z$1,0))</f>
        <v>Proyección</v>
      </c>
    </row>
    <row r="204" spans="1:3" x14ac:dyDescent="0.2">
      <c r="A204" t="s">
        <v>278</v>
      </c>
      <c r="B204" t="s">
        <v>185</v>
      </c>
      <c r="C204" t="str">
        <f>INDEX(NORMATIVOS!$C$188:$Z$188,1,MATCH($B$3,NORMATIVOS!$C$1:$Z$1,0))</f>
        <v>Proyección</v>
      </c>
    </row>
    <row r="205" spans="1:3" x14ac:dyDescent="0.2">
      <c r="A205" t="s">
        <v>278</v>
      </c>
      <c r="B205" t="s">
        <v>186</v>
      </c>
      <c r="C205" t="str">
        <f>INDEX(NORMATIVOS!$C$189:$Z$189,1,MATCH($B$3,NORMATIVOS!$C$1:$Z$1,0))</f>
        <v>Proyección</v>
      </c>
    </row>
    <row r="206" spans="1:3" x14ac:dyDescent="0.2">
      <c r="A206" t="s">
        <v>278</v>
      </c>
      <c r="B206" t="s">
        <v>187</v>
      </c>
      <c r="C206" t="str">
        <f>INDEX(NORMATIVOS!$C$190:$Z$190,1,MATCH($B$3,NORMATIVOS!$C$1:$Z$1,0))</f>
        <v>Proyección</v>
      </c>
    </row>
    <row r="207" spans="1:3" x14ac:dyDescent="0.2">
      <c r="A207" t="s">
        <v>278</v>
      </c>
      <c r="B207" t="s">
        <v>188</v>
      </c>
      <c r="C207" t="str">
        <f>INDEX(NORMATIVOS!$C$191:$Z$191,1,MATCH($B$3,NORMATIVOS!$C$1:$Z$1,0))</f>
        <v>Proyección</v>
      </c>
    </row>
    <row r="208" spans="1:3" x14ac:dyDescent="0.2">
      <c r="A208" t="s">
        <v>278</v>
      </c>
      <c r="B208" t="s">
        <v>189</v>
      </c>
      <c r="C208" t="str">
        <f>INDEX(NORMATIVOS!$C$192:$Z$192,1,MATCH($B$3,NORMATIVOS!$C$1:$Z$1,0))</f>
        <v>Proyección</v>
      </c>
    </row>
    <row r="209" spans="1:3" x14ac:dyDescent="0.2">
      <c r="A209" t="s">
        <v>190</v>
      </c>
      <c r="B209" t="s">
        <v>191</v>
      </c>
      <c r="C209" t="str">
        <f>INDEX(NORMATIVOS!$C$193:$Z$193,1,MATCH($B$3,NORMATIVOS!$C$1:$Z$1,0))</f>
        <v>Consolidado</v>
      </c>
    </row>
    <row r="210" spans="1:3" x14ac:dyDescent="0.2">
      <c r="A210" t="s">
        <v>190</v>
      </c>
      <c r="B210" t="s">
        <v>112</v>
      </c>
      <c r="C210" t="str">
        <f>INDEX(NORMATIVOS!$C$194:$Z$194,1,MATCH($B$3,NORMATIVOS!$C$1:$Z$1,0))</f>
        <v>Consolidado</v>
      </c>
    </row>
    <row r="211" spans="1:3" x14ac:dyDescent="0.2">
      <c r="A211" t="s">
        <v>190</v>
      </c>
      <c r="B211" t="s">
        <v>13</v>
      </c>
      <c r="C211" t="str">
        <f>INDEX(NORMATIVOS!$C$195:$Z$195,1,MATCH($B$3,NORMATIVOS!$C$1:$Z$1,0))</f>
        <v>Consolidado</v>
      </c>
    </row>
    <row r="212" spans="1:3" x14ac:dyDescent="0.2">
      <c r="A212" t="s">
        <v>190</v>
      </c>
      <c r="B212" t="s">
        <v>174</v>
      </c>
      <c r="C212" t="str">
        <f>INDEX(NORMATIVOS!$C$196:$Z$196,1,MATCH($B$3,NORMATIVOS!$C$1:$Z$1,0))</f>
        <v>Consolidado</v>
      </c>
    </row>
    <row r="213" spans="1:3" x14ac:dyDescent="0.2">
      <c r="A213" t="s">
        <v>190</v>
      </c>
      <c r="B213" t="s">
        <v>307</v>
      </c>
      <c r="C213" t="str">
        <f>INDEX(NORMATIVOS!$C$197:$Z$197,1,MATCH($B$3,NORMATIVOS!$C$1:$Z$1,0))</f>
        <v>Consolidado</v>
      </c>
    </row>
    <row r="214" spans="1:3" x14ac:dyDescent="0.2">
      <c r="A214" t="s">
        <v>190</v>
      </c>
      <c r="B214" t="s">
        <v>193</v>
      </c>
      <c r="C214" t="str">
        <f>INDEX(NORMATIVOS!$C$198:$Z$198,1,MATCH($B$3,NORMATIVOS!$C$1:$Z$1,0))</f>
        <v>Consolidado</v>
      </c>
    </row>
    <row r="215" spans="1:3" x14ac:dyDescent="0.2">
      <c r="A215" t="s">
        <v>190</v>
      </c>
      <c r="B215" t="s">
        <v>194</v>
      </c>
      <c r="C215" t="str">
        <f>INDEX(NORMATIVOS!$C$199:$Z$199,1,MATCH($B$3,NORMATIVOS!$C$1:$Z$1,0))</f>
        <v>Consolidado</v>
      </c>
    </row>
    <row r="216" spans="1:3" x14ac:dyDescent="0.2">
      <c r="A216" t="s">
        <v>190</v>
      </c>
      <c r="B216" t="s">
        <v>195</v>
      </c>
      <c r="C216" t="str">
        <f>INDEX(NORMATIVOS!$C$200:$Z$200,1,MATCH($B$3,NORMATIVOS!$C$1:$Z$1,0))</f>
        <v>Consolidado</v>
      </c>
    </row>
    <row r="217" spans="1:3" x14ac:dyDescent="0.2">
      <c r="A217" t="s">
        <v>190</v>
      </c>
      <c r="B217" t="s">
        <v>196</v>
      </c>
      <c r="C217" t="str">
        <f>INDEX(NORMATIVOS!$C$201:$Z$201,1,MATCH($B$3,NORMATIVOS!$C$1:$Z$1,0))</f>
        <v>Proyección</v>
      </c>
    </row>
    <row r="218" spans="1:3" x14ac:dyDescent="0.2">
      <c r="A218" t="s">
        <v>190</v>
      </c>
      <c r="B218" t="s">
        <v>197</v>
      </c>
      <c r="C218" t="str">
        <f>INDEX(NORMATIVOS!$C$202:$Z$202,1,MATCH($B$3,NORMATIVOS!$C$1:$Z$1,0))</f>
        <v>Consolidado</v>
      </c>
    </row>
    <row r="219" spans="1:3" x14ac:dyDescent="0.2">
      <c r="A219" t="s">
        <v>190</v>
      </c>
      <c r="B219" t="s">
        <v>198</v>
      </c>
      <c r="C219" t="str">
        <f>INDEX(NORMATIVOS!$C$203:$Z$203,1,MATCH($B$3,NORMATIVOS!$C$1:$Z$1,0))</f>
        <v>Consolidado</v>
      </c>
    </row>
    <row r="220" spans="1:3" x14ac:dyDescent="0.2">
      <c r="A220" t="s">
        <v>190</v>
      </c>
      <c r="B220" t="s">
        <v>199</v>
      </c>
      <c r="C220" t="str">
        <f>INDEX(NORMATIVOS!$C$204:$Z$204,1,MATCH($B$3,NORMATIVOS!$C$1:$Z$1,0))</f>
        <v>En proceso</v>
      </c>
    </row>
    <row r="221" spans="1:3" x14ac:dyDescent="0.2">
      <c r="A221" t="s">
        <v>190</v>
      </c>
      <c r="B221" t="s">
        <v>309</v>
      </c>
      <c r="C221" t="str">
        <f>INDEX(NORMATIVOS!$C$205:$Z$205,1,MATCH($B$3,NORMATIVOS!$C$1:$Z$1,0))</f>
        <v>Consolidado</v>
      </c>
    </row>
    <row r="222" spans="1:3" x14ac:dyDescent="0.2">
      <c r="A222" t="s">
        <v>190</v>
      </c>
      <c r="B222" t="s">
        <v>310</v>
      </c>
      <c r="C222" t="str">
        <f>INDEX(NORMATIVOS!$C$206:$Z$206,1,MATCH($B$3,NORMATIVOS!$C$1:$Z$1,0))</f>
        <v>En proceso</v>
      </c>
    </row>
    <row r="223" spans="1:3" x14ac:dyDescent="0.2">
      <c r="A223" t="s">
        <v>190</v>
      </c>
      <c r="B223" t="s">
        <v>202</v>
      </c>
      <c r="C223" t="str">
        <f>INDEX(NORMATIVOS!$C$207:$Z$207,1,MATCH($B$3,NORMATIVOS!$C$1:$Z$1,0))</f>
        <v>Proyección</v>
      </c>
    </row>
    <row r="224" spans="1:3" x14ac:dyDescent="0.2">
      <c r="A224" t="s">
        <v>190</v>
      </c>
      <c r="B224" t="s">
        <v>203</v>
      </c>
      <c r="C224" t="str">
        <f>INDEX(NORMATIVOS!$C$208:$Z$208,1,MATCH($B$3,NORMATIVOS!$C$1:$Z$1,0))</f>
        <v>Proyección</v>
      </c>
    </row>
    <row r="225" spans="1:3" x14ac:dyDescent="0.2">
      <c r="A225" t="s">
        <v>190</v>
      </c>
      <c r="B225" t="s">
        <v>204</v>
      </c>
      <c r="C225" t="str">
        <f>INDEX(NORMATIVOS!$C$209:$Z$209,1,MATCH($B$3,NORMATIVOS!$C$1:$Z$1,0))</f>
        <v>Proyección</v>
      </c>
    </row>
    <row r="226" spans="1:3" x14ac:dyDescent="0.2">
      <c r="A226" t="s">
        <v>190</v>
      </c>
      <c r="B226" t="s">
        <v>205</v>
      </c>
      <c r="C226" t="str">
        <f>INDEX(NORMATIVOS!$C$210:$Z$210,1,MATCH($B$3,NORMATIVOS!$C$1:$Z$1,0))</f>
        <v>Proyección</v>
      </c>
    </row>
    <row r="227" spans="1:3" x14ac:dyDescent="0.2">
      <c r="A227" t="s">
        <v>190</v>
      </c>
      <c r="B227" t="s">
        <v>311</v>
      </c>
      <c r="C227" t="str">
        <f>INDEX(NORMATIVOS!$C$211:$Z$211,1,MATCH($B$3,NORMATIVOS!$C$1:$Z$1,0))</f>
        <v>Proyección</v>
      </c>
    </row>
    <row r="228" spans="1:3" x14ac:dyDescent="0.2">
      <c r="A228" t="s">
        <v>190</v>
      </c>
      <c r="B228" t="s">
        <v>207</v>
      </c>
      <c r="C228" t="str">
        <f>INDEX(NORMATIVOS!$C$212:$Z$212,1,MATCH($B$3,NORMATIVOS!$C$1:$Z$1,0))</f>
        <v>Proyección</v>
      </c>
    </row>
    <row r="229" spans="1:3" x14ac:dyDescent="0.2">
      <c r="A229" t="s">
        <v>190</v>
      </c>
      <c r="B229" t="s">
        <v>208</v>
      </c>
      <c r="C229" t="str">
        <f>INDEX(NORMATIVOS!$C$213:$Z$213,1,MATCH($B$3,NORMATIVOS!$C$1:$Z$1,0))</f>
        <v>Proyección</v>
      </c>
    </row>
    <row r="230" spans="1:3" x14ac:dyDescent="0.2">
      <c r="A230" t="s">
        <v>190</v>
      </c>
      <c r="B230" t="s">
        <v>209</v>
      </c>
      <c r="C230" t="str">
        <f>INDEX(NORMATIVOS!$C$214:$Z$214,1,MATCH($B$3,NORMATIVOS!$C$1:$Z$1,0))</f>
        <v>Proyección</v>
      </c>
    </row>
    <row r="231" spans="1:3" x14ac:dyDescent="0.2">
      <c r="A231" t="s">
        <v>190</v>
      </c>
      <c r="B231" t="s">
        <v>210</v>
      </c>
      <c r="C231" t="str">
        <f>INDEX(NORMATIVOS!$C$215:$Z$215,1,MATCH($B$3,NORMATIVOS!$C$1:$Z$1,0))</f>
        <v>Proyección</v>
      </c>
    </row>
    <row r="232" spans="1:3" x14ac:dyDescent="0.2">
      <c r="A232" t="s">
        <v>190</v>
      </c>
      <c r="B232" t="s">
        <v>211</v>
      </c>
      <c r="C232" t="str">
        <f>INDEX(NORMATIVOS!$C$216:$Z$216,1,MATCH($B$3,NORMATIVOS!$C$1:$Z$1,0))</f>
        <v>Proyección</v>
      </c>
    </row>
    <row r="233" spans="1:3" x14ac:dyDescent="0.2">
      <c r="A233" t="s">
        <v>212</v>
      </c>
      <c r="B233" t="s">
        <v>174</v>
      </c>
      <c r="C233" t="str">
        <f>INDEX(NORMATIVOS!$C$217:$Z$217,1,MATCH($B$3,NORMATIVOS!$C$1:$Z$1,0))</f>
        <v>Consolidado</v>
      </c>
    </row>
    <row r="234" spans="1:3" x14ac:dyDescent="0.2">
      <c r="A234" t="s">
        <v>212</v>
      </c>
      <c r="B234" t="s">
        <v>307</v>
      </c>
      <c r="C234" t="str">
        <f>INDEX(NORMATIVOS!$C$218:$Z$218,1,MATCH($B$3,NORMATIVOS!$C$1:$Z$1,0))</f>
        <v>En proceso</v>
      </c>
    </row>
    <row r="235" spans="1:3" x14ac:dyDescent="0.2">
      <c r="A235" t="s">
        <v>212</v>
      </c>
      <c r="B235" t="s">
        <v>308</v>
      </c>
      <c r="C235" t="str">
        <f>INDEX(NORMATIVOS!$C$219:$Z$219,1,MATCH($B$3,NORMATIVOS!$C$1:$Z$1,0))</f>
        <v>Consolidado</v>
      </c>
    </row>
    <row r="236" spans="1:3" x14ac:dyDescent="0.2">
      <c r="A236" t="s">
        <v>212</v>
      </c>
      <c r="B236" t="s">
        <v>131</v>
      </c>
      <c r="C236" t="str">
        <f>INDEX(NORMATIVOS!$C$220:$Z$220,1,MATCH($B$3,NORMATIVOS!$C$1:$Z$1,0))</f>
        <v>Consolidado</v>
      </c>
    </row>
    <row r="237" spans="1:3" x14ac:dyDescent="0.2">
      <c r="A237" t="s">
        <v>212</v>
      </c>
      <c r="B237" t="s">
        <v>213</v>
      </c>
      <c r="C237" t="str">
        <f>INDEX(NORMATIVOS!$C$221:$Z$221,1,MATCH($B$3,NORMATIVOS!$C$1:$Z$1,0))</f>
        <v>En proceso</v>
      </c>
    </row>
    <row r="238" spans="1:3" x14ac:dyDescent="0.2">
      <c r="A238" t="s">
        <v>212</v>
      </c>
      <c r="B238" t="s">
        <v>214</v>
      </c>
      <c r="C238" t="str">
        <f>INDEX(NORMATIVOS!$C$222:$Z$222,1,MATCH($B$3,NORMATIVOS!$C$1:$Z$1,0))</f>
        <v>Proyección</v>
      </c>
    </row>
    <row r="239" spans="1:3" x14ac:dyDescent="0.2">
      <c r="A239" t="s">
        <v>212</v>
      </c>
      <c r="B239" t="s">
        <v>215</v>
      </c>
      <c r="C239" t="str">
        <f>INDEX(NORMATIVOS!$C$223:$Z$223,1,MATCH($B$3,NORMATIVOS!$C$1:$Z$1,0))</f>
        <v>Proyección</v>
      </c>
    </row>
    <row r="240" spans="1:3" x14ac:dyDescent="0.2">
      <c r="A240" t="s">
        <v>212</v>
      </c>
      <c r="B240" t="s">
        <v>216</v>
      </c>
      <c r="C240" t="str">
        <f>INDEX(NORMATIVOS!$C$224:$Z$224,1,MATCH($B$3,NORMATIVOS!$C$1:$Z$1,0))</f>
        <v>Proyección</v>
      </c>
    </row>
    <row r="241" spans="1:3" x14ac:dyDescent="0.2">
      <c r="A241" t="s">
        <v>212</v>
      </c>
      <c r="B241" t="s">
        <v>312</v>
      </c>
      <c r="C241" t="str">
        <f>INDEX(NORMATIVOS!$C$225:$Z$225,1,MATCH($B$3,NORMATIVOS!$C$1:$Z$1,0))</f>
        <v>Proyección</v>
      </c>
    </row>
    <row r="242" spans="1:3" x14ac:dyDescent="0.2">
      <c r="A242" t="s">
        <v>212</v>
      </c>
      <c r="B242" t="s">
        <v>218</v>
      </c>
      <c r="C242" t="str">
        <f>INDEX(NORMATIVOS!$C$226:$Z$226,1,MATCH($B$3,NORMATIVOS!$C$1:$Z$1,0))</f>
        <v>Proyección</v>
      </c>
    </row>
    <row r="243" spans="1:3" x14ac:dyDescent="0.2">
      <c r="A243" t="s">
        <v>212</v>
      </c>
      <c r="B243" t="s">
        <v>219</v>
      </c>
      <c r="C243" t="str">
        <f>INDEX(NORMATIVOS!$C$227:$Z$227,1,MATCH($B$3,NORMATIVOS!$C$1:$Z$1,0))</f>
        <v>Proyección</v>
      </c>
    </row>
    <row r="244" spans="1:3" x14ac:dyDescent="0.2">
      <c r="A244" t="s">
        <v>212</v>
      </c>
      <c r="B244" t="s">
        <v>220</v>
      </c>
      <c r="C244" t="str">
        <f>INDEX(NORMATIVOS!$C$228:$Z$228,1,MATCH($B$3,NORMATIVOS!$C$1:$Z$1,0))</f>
        <v>Proyección</v>
      </c>
    </row>
    <row r="245" spans="1:3" x14ac:dyDescent="0.2">
      <c r="A245" t="s">
        <v>212</v>
      </c>
      <c r="B245" t="s">
        <v>313</v>
      </c>
      <c r="C245" t="str">
        <f>INDEX(NORMATIVOS!$C$229:$Z$229,1,MATCH($B$3,NORMATIVOS!$C$1:$Z$1,0))</f>
        <v>Proyección</v>
      </c>
    </row>
    <row r="246" spans="1:3" x14ac:dyDescent="0.2">
      <c r="A246" t="s">
        <v>223</v>
      </c>
      <c r="B246" t="s">
        <v>224</v>
      </c>
      <c r="C246" t="str">
        <f>INDEX(NORMATIVOS!$C$232:$Z$232,1,MATCH($B$3,NORMATIVOS!$C$1:$Z$1,0))</f>
        <v>Consolidado</v>
      </c>
    </row>
    <row r="247" spans="1:3" x14ac:dyDescent="0.2">
      <c r="A247" t="s">
        <v>223</v>
      </c>
      <c r="B247" t="s">
        <v>225</v>
      </c>
      <c r="C247" t="str">
        <f>INDEX(NORMATIVOS!$C$233:$Z$233,1,MATCH($B$3,NORMATIVOS!$C$1:$Z$1,0))</f>
        <v>Consolidado</v>
      </c>
    </row>
    <row r="248" spans="1:3" x14ac:dyDescent="0.2">
      <c r="A248" t="s">
        <v>223</v>
      </c>
      <c r="B248" t="s">
        <v>121</v>
      </c>
      <c r="C248" t="str">
        <f>INDEX(NORMATIVOS!$C$234:$Z$234,1,MATCH($B$3,NORMATIVOS!$C$1:$Z$1,0))</f>
        <v>Consolidado</v>
      </c>
    </row>
    <row r="249" spans="1:3" x14ac:dyDescent="0.2">
      <c r="A249" t="s">
        <v>223</v>
      </c>
      <c r="B249" t="s">
        <v>300</v>
      </c>
      <c r="C249" t="str">
        <f>INDEX(NORMATIVOS!$C$235:$Z$235,1,MATCH($B$3,NORMATIVOS!$C$1:$Z$1,0))</f>
        <v>Consolidado</v>
      </c>
    </row>
    <row r="250" spans="1:3" x14ac:dyDescent="0.2">
      <c r="A250" t="s">
        <v>223</v>
      </c>
      <c r="B250" t="s">
        <v>226</v>
      </c>
      <c r="C250" t="str">
        <f>INDEX(NORMATIVOS!$C$236:$Z$236,1,MATCH($B$3,NORMATIVOS!$C$1:$Z$1,0))</f>
        <v>Consolidado</v>
      </c>
    </row>
    <row r="251" spans="1:3" x14ac:dyDescent="0.2">
      <c r="A251" t="s">
        <v>223</v>
      </c>
      <c r="B251" t="s">
        <v>227</v>
      </c>
      <c r="C251" t="str">
        <f>INDEX(NORMATIVOS!$C$237:$Z$237,1,MATCH($B$3,NORMATIVOS!$C$1:$Z$1,0))</f>
        <v>Consolidado</v>
      </c>
    </row>
    <row r="252" spans="1:3" x14ac:dyDescent="0.2">
      <c r="A252" t="s">
        <v>223</v>
      </c>
      <c r="B252" t="s">
        <v>228</v>
      </c>
      <c r="C252" t="str">
        <f>INDEX(NORMATIVOS!$C$238:$Z$238,1,MATCH($B$3,NORMATIVOS!$C$1:$Z$1,0))</f>
        <v>Consolidado</v>
      </c>
    </row>
    <row r="253" spans="1:3" x14ac:dyDescent="0.2">
      <c r="A253" t="s">
        <v>223</v>
      </c>
      <c r="B253" t="s">
        <v>229</v>
      </c>
      <c r="C253" t="str">
        <f>INDEX(NORMATIVOS!$C$239:$Z$239,1,MATCH($B$3,NORMATIVOS!$C$1:$Z$1,0))</f>
        <v>Consolidado</v>
      </c>
    </row>
    <row r="254" spans="1:3" x14ac:dyDescent="0.2">
      <c r="A254" t="s">
        <v>223</v>
      </c>
      <c r="B254" t="s">
        <v>230</v>
      </c>
      <c r="C254" t="str">
        <f>INDEX(NORMATIVOS!$C$240:$Z$240,1,MATCH($B$3,NORMATIVOS!$C$1:$Z$1,0))</f>
        <v>Consolidado</v>
      </c>
    </row>
    <row r="255" spans="1:3" x14ac:dyDescent="0.2">
      <c r="A255" t="s">
        <v>223</v>
      </c>
      <c r="B255" t="s">
        <v>135</v>
      </c>
      <c r="C255" t="str">
        <f>INDEX(NORMATIVOS!$C$241:$Z$241,1,MATCH($B$3,NORMATIVOS!$C$1:$Z$1,0))</f>
        <v>Consolidado</v>
      </c>
    </row>
    <row r="256" spans="1:3" x14ac:dyDescent="0.2">
      <c r="A256" t="s">
        <v>223</v>
      </c>
      <c r="B256" t="s">
        <v>134</v>
      </c>
      <c r="C256" t="str">
        <f>INDEX(NORMATIVOS!$C$242:$Z$242,1,MATCH($B$3,NORMATIVOS!$C$1:$Z$1,0))</f>
        <v>Consolidado</v>
      </c>
    </row>
    <row r="257" spans="1:3" x14ac:dyDescent="0.2">
      <c r="A257" t="s">
        <v>223</v>
      </c>
      <c r="B257" t="s">
        <v>232</v>
      </c>
      <c r="C257" t="str">
        <f>INDEX(NORMATIVOS!$C$243:$Z$243,1,MATCH($B$3,NORMATIVOS!$C$1:$Z$1,0))</f>
        <v>Consolidado</v>
      </c>
    </row>
    <row r="258" spans="1:3" x14ac:dyDescent="0.2">
      <c r="A258" t="s">
        <v>223</v>
      </c>
      <c r="B258" t="s">
        <v>198</v>
      </c>
      <c r="C258" t="str">
        <f>INDEX(NORMATIVOS!$C$244:$Z$244,1,MATCH($B$3,NORMATIVOS!$C$1:$Z$1,0))</f>
        <v>Consolidado</v>
      </c>
    </row>
    <row r="259" spans="1:3" x14ac:dyDescent="0.2">
      <c r="A259" t="s">
        <v>223</v>
      </c>
      <c r="B259" t="s">
        <v>233</v>
      </c>
      <c r="C259" t="str">
        <f>INDEX(NORMATIVOS!$C$245:$Z$245,1,MATCH($B$3,NORMATIVOS!$C$1:$Z$1,0))</f>
        <v>Consolidado</v>
      </c>
    </row>
    <row r="260" spans="1:3" x14ac:dyDescent="0.2">
      <c r="A260" t="s">
        <v>223</v>
      </c>
      <c r="B260" t="s">
        <v>234</v>
      </c>
      <c r="C260" t="str">
        <f>INDEX(NORMATIVOS!$C$246:$Z$246,1,MATCH($B$3,NORMATIVOS!$C$1:$Z$1,0))</f>
        <v>Consolidado</v>
      </c>
    </row>
    <row r="261" spans="1:3" x14ac:dyDescent="0.2">
      <c r="A261" t="s">
        <v>223</v>
      </c>
      <c r="B261" t="s">
        <v>235</v>
      </c>
      <c r="C261" t="str">
        <f>INDEX(NORMATIVOS!$C$247:$Z$247,1,MATCH($B$3,NORMATIVOS!$C$1:$Z$1,0))</f>
        <v>Proyección</v>
      </c>
    </row>
    <row r="262" spans="1:3" x14ac:dyDescent="0.2">
      <c r="A262" t="s">
        <v>223</v>
      </c>
      <c r="B262" t="s">
        <v>236</v>
      </c>
      <c r="C262" t="str">
        <f>INDEX(NORMATIVOS!$C$248:$Z$248,1,MATCH($B$3,NORMATIVOS!$C$1:$Z$1,0))</f>
        <v>Proyección</v>
      </c>
    </row>
    <row r="263" spans="1:3" x14ac:dyDescent="0.2">
      <c r="A263" t="s">
        <v>223</v>
      </c>
      <c r="B263" t="s">
        <v>237</v>
      </c>
      <c r="C263" t="str">
        <f>INDEX(NORMATIVOS!$C$249:$Z$249,1,MATCH($B$3,NORMATIVOS!$C$1:$Z$1,0))</f>
        <v>Proyección</v>
      </c>
    </row>
    <row r="264" spans="1:3" x14ac:dyDescent="0.2">
      <c r="A264" t="s">
        <v>223</v>
      </c>
      <c r="B264" t="s">
        <v>238</v>
      </c>
      <c r="C264" t="str">
        <f>INDEX(NORMATIVOS!$C$250:$Z$250,1,MATCH($B$3,NORMATIVOS!$C$1:$Z$1,0))</f>
        <v>Proyección</v>
      </c>
    </row>
    <row r="265" spans="1:3" x14ac:dyDescent="0.2">
      <c r="A265" t="s">
        <v>223</v>
      </c>
      <c r="B265" t="s">
        <v>239</v>
      </c>
      <c r="C265" t="str">
        <f>INDEX(NORMATIVOS!$C$251:$Z$251,1,MATCH($B$3,NORMATIVOS!$C$1:$Z$1,0))</f>
        <v>Proyección</v>
      </c>
    </row>
    <row r="266" spans="1:3" x14ac:dyDescent="0.2">
      <c r="A266" t="s">
        <v>223</v>
      </c>
      <c r="B266" t="s">
        <v>240</v>
      </c>
      <c r="C266" t="str">
        <f>INDEX(NORMATIVOS!$C$252:$Z$252,1,MATCH($B$3,NORMATIVOS!$C$1:$Z$1,0))</f>
        <v>Proyección</v>
      </c>
    </row>
    <row r="267" spans="1:3" x14ac:dyDescent="0.2">
      <c r="A267" t="s">
        <v>223</v>
      </c>
      <c r="B267" t="s">
        <v>241</v>
      </c>
      <c r="C267" t="str">
        <f>INDEX(NORMATIVOS!$C$253:$Z$253,1,MATCH($B$3,NORMATIVOS!$C$1:$Z$1,0))</f>
        <v>Proyección</v>
      </c>
    </row>
    <row r="268" spans="1:3" x14ac:dyDescent="0.2">
      <c r="A268" t="s">
        <v>223</v>
      </c>
      <c r="B268" t="s">
        <v>242</v>
      </c>
      <c r="C268" t="str">
        <f>INDEX(NORMATIVOS!$C$254:$Z$254,1,MATCH($B$3,NORMATIVOS!$C$1:$Z$1,0))</f>
        <v>Proyección</v>
      </c>
    </row>
    <row r="269" spans="1:3" x14ac:dyDescent="0.2">
      <c r="A269" t="s">
        <v>223</v>
      </c>
      <c r="B269" t="s">
        <v>243</v>
      </c>
      <c r="C269" t="str">
        <f>INDEX(NORMATIVOS!$C$255:$Z$255,1,MATCH($B$3,NORMATIVOS!$C$1:$Z$1,0))</f>
        <v>Proyección</v>
      </c>
    </row>
    <row r="270" spans="1:3" x14ac:dyDescent="0.2">
      <c r="A270" t="s">
        <v>223</v>
      </c>
      <c r="B270" t="s">
        <v>244</v>
      </c>
      <c r="C270" t="str">
        <f>INDEX(NORMATIVOS!$C$256:$Z$256,1,MATCH($B$3,NORMATIVOS!$C$1:$Z$1,0))</f>
        <v>Proyección</v>
      </c>
    </row>
    <row r="271" spans="1:3" x14ac:dyDescent="0.2">
      <c r="A271" t="s">
        <v>223</v>
      </c>
      <c r="B271" t="s">
        <v>245</v>
      </c>
      <c r="C271" t="str">
        <f>INDEX(NORMATIVOS!$C$257:$Z$257,1,MATCH($B$3,NORMATIVOS!$C$1:$Z$1,0))</f>
        <v>Proyección</v>
      </c>
    </row>
    <row r="272" spans="1:3" x14ac:dyDescent="0.2">
      <c r="A272" t="s">
        <v>223</v>
      </c>
      <c r="B272" t="s">
        <v>246</v>
      </c>
      <c r="C272" t="str">
        <f>INDEX(NORMATIVOS!$C$258:$Z$258,1,MATCH($B$3,NORMATIVOS!$C$1:$Z$1,0))</f>
        <v>Proyección</v>
      </c>
    </row>
    <row r="273" spans="1:3" x14ac:dyDescent="0.2">
      <c r="A273" t="s">
        <v>223</v>
      </c>
      <c r="B273" t="s">
        <v>247</v>
      </c>
      <c r="C273" t="str">
        <f>INDEX(NORMATIVOS!$C$259:$Z$259,1,MATCH($B$3,NORMATIVOS!$C$1:$Z$1,0))</f>
        <v>Proyección</v>
      </c>
    </row>
    <row r="274" spans="1:3" x14ac:dyDescent="0.2">
      <c r="A274" t="s">
        <v>248</v>
      </c>
      <c r="B274" t="s">
        <v>314</v>
      </c>
      <c r="C274" t="str">
        <f>INDEX(NORMATIVOS!$C$260:$Z$260,1,MATCH($B$3,NORMATIVOS!$C$1:$Z$1,0))</f>
        <v>Consolidado</v>
      </c>
    </row>
    <row r="275" spans="1:3" x14ac:dyDescent="0.2">
      <c r="A275" t="s">
        <v>248</v>
      </c>
      <c r="B275" t="s">
        <v>250</v>
      </c>
      <c r="C275" t="str">
        <f>INDEX(NORMATIVOS!$C$261:$Z$261,1,MATCH($B$3,NORMATIVOS!$C$1:$Z$1,0))</f>
        <v>Consolidado</v>
      </c>
    </row>
    <row r="276" spans="1:3" x14ac:dyDescent="0.2">
      <c r="A276" t="s">
        <v>248</v>
      </c>
      <c r="B276" t="s">
        <v>315</v>
      </c>
      <c r="C276" t="str">
        <f>INDEX(NORMATIVOS!$C$262:$Z$262,1,MATCH($B$3,NORMATIVOS!$C$1:$Z$1,0))</f>
        <v>Consolidado</v>
      </c>
    </row>
    <row r="277" spans="1:3" x14ac:dyDescent="0.2">
      <c r="A277" t="s">
        <v>248</v>
      </c>
      <c r="B277" t="s">
        <v>252</v>
      </c>
      <c r="C277" t="str">
        <f>INDEX(NORMATIVOS!$C$263:$Z$263,1,MATCH($B$3,NORMATIVOS!$C$1:$Z$1,0))</f>
        <v>Consolidado</v>
      </c>
    </row>
    <row r="278" spans="1:3" x14ac:dyDescent="0.2">
      <c r="A278" t="s">
        <v>248</v>
      </c>
      <c r="B278" t="s">
        <v>253</v>
      </c>
      <c r="C278" t="str">
        <f>INDEX(NORMATIVOS!$C$264:$Z$264,1,MATCH($B$3,NORMATIVOS!$C$1:$Z$1,0))</f>
        <v>Consolidado</v>
      </c>
    </row>
    <row r="279" spans="1:3" x14ac:dyDescent="0.2">
      <c r="A279" t="s">
        <v>248</v>
      </c>
      <c r="B279" t="s">
        <v>316</v>
      </c>
      <c r="C279" t="str">
        <f>INDEX(NORMATIVOS!$C$265:$Z$265,1,MATCH($B$3,NORMATIVOS!$C$1:$Z$1,0))</f>
        <v>En proceso</v>
      </c>
    </row>
    <row r="280" spans="1:3" x14ac:dyDescent="0.2">
      <c r="A280" t="s">
        <v>248</v>
      </c>
      <c r="B280" t="s">
        <v>255</v>
      </c>
      <c r="C280" t="str">
        <f>INDEX(NORMATIVOS!$C$266:$Z$266,1,MATCH($B$3,NORMATIVOS!$C$1:$Z$1,0))</f>
        <v>En proceso</v>
      </c>
    </row>
    <row r="281" spans="1:3" x14ac:dyDescent="0.2">
      <c r="A281" t="s">
        <v>248</v>
      </c>
      <c r="B281" t="s">
        <v>256</v>
      </c>
      <c r="C281" t="str">
        <f>INDEX(NORMATIVOS!$C$267:$Z$267,1,MATCH($B$3,NORMATIVOS!$C$1:$Z$1,0))</f>
        <v>En proceso</v>
      </c>
    </row>
    <row r="282" spans="1:3" x14ac:dyDescent="0.2">
      <c r="A282" t="s">
        <v>248</v>
      </c>
      <c r="B282" t="s">
        <v>317</v>
      </c>
      <c r="C282" t="str">
        <f>INDEX(NORMATIVOS!$C$268:$Z$268,1,MATCH($B$3,NORMATIVOS!$C$1:$Z$1,0))</f>
        <v>En proceso</v>
      </c>
    </row>
    <row r="283" spans="1:3" x14ac:dyDescent="0.2">
      <c r="A283" t="s">
        <v>248</v>
      </c>
      <c r="B283" t="s">
        <v>258</v>
      </c>
      <c r="C283" t="str">
        <f>INDEX(NORMATIVOS!$C$269:$Z$269,1,MATCH($B$3,NORMATIVOS!$C$1:$Z$1,0))</f>
        <v>En proceso</v>
      </c>
    </row>
    <row r="284" spans="1:3" x14ac:dyDescent="0.2">
      <c r="A284" t="s">
        <v>248</v>
      </c>
      <c r="B284" t="s">
        <v>259</v>
      </c>
      <c r="C284" t="str">
        <f>INDEX(NORMATIVOS!$C$270:$Z$270,1,MATCH($B$3,NORMATIVOS!$C$1:$Z$1,0))</f>
        <v>En proceso</v>
      </c>
    </row>
    <row r="285" spans="1:3" x14ac:dyDescent="0.2">
      <c r="A285" t="s">
        <v>248</v>
      </c>
      <c r="B285" t="s">
        <v>260</v>
      </c>
      <c r="C285" t="str">
        <f>INDEX(NORMATIVOS!$C$271:$Z$271,1,MATCH($B$3,NORMATIVOS!$C$1:$Z$1,0))</f>
        <v>Proyección</v>
      </c>
    </row>
    <row r="286" spans="1:3" x14ac:dyDescent="0.2">
      <c r="A286" t="s">
        <v>248</v>
      </c>
      <c r="B286" t="s">
        <v>261</v>
      </c>
      <c r="C286" t="str">
        <f>INDEX(NORMATIVOS!$C$272:$Z$272,1,MATCH($B$3,NORMATIVOS!$C$1:$Z$1,0))</f>
        <v>Proyección</v>
      </c>
    </row>
    <row r="287" spans="1:3" x14ac:dyDescent="0.2">
      <c r="A287" t="s">
        <v>248</v>
      </c>
      <c r="B287" t="s">
        <v>262</v>
      </c>
      <c r="C287" t="str">
        <f>INDEX(NORMATIVOS!$C$273:$Z$273,1,MATCH($B$3,NORMATIVOS!$C$1:$Z$1,0))</f>
        <v>Proyección</v>
      </c>
    </row>
    <row r="288" spans="1:3" x14ac:dyDescent="0.2">
      <c r="A288" t="s">
        <v>248</v>
      </c>
      <c r="B288" t="s">
        <v>263</v>
      </c>
      <c r="C288" t="str">
        <f>INDEX(NORMATIVOS!$C$274:$Z$274,1,MATCH($B$3,NORMATIVOS!$C$1:$Z$1,0))</f>
        <v>Proyección</v>
      </c>
    </row>
    <row r="289" spans="1:3" x14ac:dyDescent="0.2">
      <c r="A289" t="s">
        <v>248</v>
      </c>
      <c r="B289" t="s">
        <v>264</v>
      </c>
      <c r="C289" t="str">
        <f>INDEX(NORMATIVOS!$C$275:$Z$275,1,MATCH($B$3,NORMATIVOS!$C$1:$Z$1,0))</f>
        <v>Proyección</v>
      </c>
    </row>
    <row r="290" spans="1:3" x14ac:dyDescent="0.2">
      <c r="A290" t="s">
        <v>248</v>
      </c>
      <c r="B290" t="s">
        <v>265</v>
      </c>
      <c r="C290" t="str">
        <f>INDEX(NORMATIVOS!$C$276:$Z$276,1,MATCH($B$3,NORMATIVOS!$C$1:$Z$1,0))</f>
        <v>Proyección</v>
      </c>
    </row>
  </sheetData>
  <mergeCells count="2">
    <mergeCell ref="A25:C25"/>
    <mergeCell ref="A1:H1"/>
  </mergeCells>
  <conditionalFormatting sqref="C27:C290">
    <cfRule type="expression" dxfId="11" priority="1">
      <formula>C27="Consolidado"</formula>
    </cfRule>
    <cfRule type="expression" dxfId="10" priority="2">
      <formula>C27="En proceso"</formula>
    </cfRule>
    <cfRule type="expression" dxfId="9" priority="3">
      <formula>C27="Proyección"</formula>
    </cfRule>
    <cfRule type="expression" dxfId="8" priority="4">
      <formula>C27="N/A"</formula>
    </cfRule>
  </conditionalFormatting>
  <pageMargins left="0.75" right="0.75" top="1" bottom="1" header="0.5" footer="0.5"/>
  <pageSetup fitToHeight="0"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2E34032E-EB40-CE4A-955F-44F0C896F6DD}">
          <x14:formula1>
            <xm:f>CONSOLIDADO!$A$4:$A$5</xm:f>
          </x14:formula1>
          <xm:sqref>B3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7"/>
  <sheetViews>
    <sheetView showGridLines="0" zoomScale="90" workbookViewId="0">
      <selection sqref="A1:H1"/>
    </sheetView>
  </sheetViews>
  <sheetFormatPr baseColWidth="10" defaultColWidth="8.83203125" defaultRowHeight="15" x14ac:dyDescent="0.2"/>
  <cols>
    <col min="1" max="1" width="32" customWidth="1"/>
    <col min="2" max="2" width="18" customWidth="1"/>
    <col min="3" max="3" width="5" customWidth="1"/>
    <col min="4" max="4" width="20" customWidth="1"/>
    <col min="5" max="5" width="14" customWidth="1"/>
    <col min="6" max="8" width="4" customWidth="1"/>
  </cols>
  <sheetData>
    <row r="1" spans="1:8" ht="22" x14ac:dyDescent="0.3">
      <c r="A1" s="62" t="s">
        <v>318</v>
      </c>
      <c r="B1" s="59"/>
      <c r="C1" s="59"/>
      <c r="D1" s="59"/>
      <c r="E1" s="59"/>
      <c r="F1" s="59"/>
      <c r="G1" s="59"/>
      <c r="H1" s="59"/>
    </row>
    <row r="3" spans="1:8" ht="19" x14ac:dyDescent="0.25">
      <c r="A3" s="14" t="s">
        <v>319</v>
      </c>
      <c r="B3" s="16">
        <f>COUNTA(CONSOLIDADO!A4:A5)</f>
        <v>2</v>
      </c>
      <c r="D3" s="11" t="s">
        <v>291</v>
      </c>
      <c r="E3" s="11" t="s">
        <v>320</v>
      </c>
    </row>
    <row r="4" spans="1:8" ht="19" x14ac:dyDescent="0.25">
      <c r="A4" s="14" t="s">
        <v>321</v>
      </c>
      <c r="B4" s="17">
        <f>AVERAGE(CONSOLIDADO!G4:G5)</f>
        <v>0.42477433024700317</v>
      </c>
      <c r="D4" t="s">
        <v>269</v>
      </c>
      <c r="E4">
        <f>SUM(CONSOLIDADO!F4:F5)</f>
        <v>3</v>
      </c>
    </row>
    <row r="5" spans="1:8" ht="19" x14ac:dyDescent="0.25">
      <c r="A5" s="14" t="s">
        <v>322</v>
      </c>
      <c r="B5" s="16">
        <f>SUM(CONSOLIDADO!C4:C5)</f>
        <v>223</v>
      </c>
      <c r="D5" t="s">
        <v>4</v>
      </c>
      <c r="E5">
        <f>SUM(CONSOLIDADO!E4:E5)</f>
        <v>200</v>
      </c>
    </row>
    <row r="6" spans="1:8" ht="19" x14ac:dyDescent="0.25">
      <c r="A6" s="14" t="s">
        <v>323</v>
      </c>
      <c r="B6" s="16">
        <f>SUM(CONSOLIDADO!D4:D5)</f>
        <v>102</v>
      </c>
      <c r="D6" t="s">
        <v>273</v>
      </c>
      <c r="E6">
        <f>SUM(CONSOLIDADO!D4:D5)</f>
        <v>102</v>
      </c>
    </row>
    <row r="7" spans="1:8" x14ac:dyDescent="0.2">
      <c r="D7" t="s">
        <v>3</v>
      </c>
      <c r="E7">
        <f>SUM(CONSOLIDADO!C4:C5)</f>
        <v>223</v>
      </c>
    </row>
    <row r="10" spans="1:8" x14ac:dyDescent="0.2">
      <c r="A10" s="61" t="s">
        <v>324</v>
      </c>
      <c r="B10" s="59"/>
    </row>
    <row r="11" spans="1:8" x14ac:dyDescent="0.2">
      <c r="A11" s="10" t="s">
        <v>288</v>
      </c>
      <c r="B11" s="10" t="s">
        <v>283</v>
      </c>
    </row>
    <row r="12" spans="1:8" x14ac:dyDescent="0.2">
      <c r="A12" t="s">
        <v>1</v>
      </c>
      <c r="B12" s="15">
        <f>IFERROR(COUNTIF(NORMATIVOS!$C$3:$D$16,"Consolidado")/(COUNTA(NORMATIVOS!$C$3:$D$16)-COUNTIF(NORMATIVOS!$C$3:$D$16,"N/A")),0)</f>
        <v>0.5357142857142857</v>
      </c>
    </row>
    <row r="13" spans="1:8" x14ac:dyDescent="0.2">
      <c r="A13" t="s">
        <v>271</v>
      </c>
      <c r="B13" s="15">
        <f>IFERROR(COUNTIF(NORMATIVOS!$C$17:$D$27,"Consolidado")/(COUNTA(NORMATIVOS!$C$17:$D$27)-COUNTIF(NORMATIVOS!$C$17:$D$27,"N/A")),0)</f>
        <v>0.72727272727272729</v>
      </c>
    </row>
    <row r="14" spans="1:8" x14ac:dyDescent="0.2">
      <c r="A14" t="s">
        <v>274</v>
      </c>
      <c r="B14" s="15">
        <f>IFERROR(COUNTIF(NORMATIVOS!$C$28:$D$37,"Consolidado")/(COUNTA(NORMATIVOS!$C$28:$D$37)-COUNTIF(NORMATIVOS!$C$28:$D$37,"N/A")),0)</f>
        <v>0.4</v>
      </c>
    </row>
    <row r="15" spans="1:8" x14ac:dyDescent="0.2">
      <c r="A15" t="s">
        <v>276</v>
      </c>
      <c r="B15" s="15">
        <f>IFERROR(COUNTIF(NORMATIVOS!$C$38:$D$46,"Consolidado")/(COUNTA(NORMATIVOS!$C$38:$D$46)-COUNTIF(NORMATIVOS!$C$38:$D$46,"N/A")),0)</f>
        <v>0</v>
      </c>
    </row>
    <row r="16" spans="1:8" x14ac:dyDescent="0.2">
      <c r="A16" t="s">
        <v>52</v>
      </c>
      <c r="B16" s="15">
        <f>IFERROR(COUNTIF(NORMATIVOS!$C$49:$D$64,"Consolidado")/(COUNTA(NORMATIVOS!$C$49:$D$64)-COUNTIF(NORMATIVOS!$C$49:$D$64,"N/A")),0)</f>
        <v>0.8125</v>
      </c>
    </row>
    <row r="17" spans="1:2" x14ac:dyDescent="0.2">
      <c r="A17" t="s">
        <v>69</v>
      </c>
      <c r="B17" s="15">
        <f>IFERROR(COUNTIF(NORMATIVOS!$C$65:$D$78,"Consolidado")/(COUNTA(NORMATIVOS!$C$65:$D$78)-COUNTIF(NORMATIVOS!$C$65:$D$78,"N/A")),0)</f>
        <v>0.5714285714285714</v>
      </c>
    </row>
    <row r="18" spans="1:2" x14ac:dyDescent="0.2">
      <c r="A18" t="s">
        <v>79</v>
      </c>
      <c r="B18" s="15">
        <f>IFERROR(COUNTIF(NORMATIVOS!$C$79:$D$104,"Consolidado")/(COUNTA(NORMATIVOS!$C$79:$D$104)-COUNTIF(NORMATIVOS!$C$79:$D$104,"N/A")),0)</f>
        <v>0.11538461538461539</v>
      </c>
    </row>
    <row r="19" spans="1:2" x14ac:dyDescent="0.2">
      <c r="A19" t="s">
        <v>105</v>
      </c>
      <c r="B19" s="15">
        <f>IFERROR(COUNTIF(NORMATIVOS!$C$107:$D$121,"Consolidado")/(COUNTA(NORMATIVOS!$C$107:$D$121)-COUNTIF(NORMATIVOS!$C$107:$D$121,"N/A")),0)</f>
        <v>0.6</v>
      </c>
    </row>
    <row r="20" spans="1:2" x14ac:dyDescent="0.2">
      <c r="A20" t="s">
        <v>120</v>
      </c>
      <c r="B20" s="15">
        <f>IFERROR(COUNTIF(NORMATIVOS!$C$122:$D$141,"Consolidado")/(COUNTA(NORMATIVOS!$C$122:$D$141)-COUNTIF(NORMATIVOS!$C$122:$D$141,"N/A")),0)</f>
        <v>0.25</v>
      </c>
    </row>
    <row r="21" spans="1:2" x14ac:dyDescent="0.2">
      <c r="A21" t="s">
        <v>142</v>
      </c>
      <c r="B21" s="15">
        <f>IFERROR(COUNTIF(NORMATIVOS!$C$144:$D$150,"Consolidado")/(COUNTA(NORMATIVOS!$C$144:$D$150)-COUNTIF(NORMATIVOS!$C$144:$D$150,"N/A")),0)</f>
        <v>1</v>
      </c>
    </row>
    <row r="22" spans="1:2" x14ac:dyDescent="0.2">
      <c r="A22" t="s">
        <v>150</v>
      </c>
      <c r="B22" s="15">
        <f>IFERROR(COUNTIF(NORMATIVOS!$C$151:$D$172,"Consolidado")/(COUNTA(NORMATIVOS!$C$151:$D$172)-COUNTIF(NORMATIVOS!$C$151:$D$172,"N/A")),0)</f>
        <v>0.18181818181818182</v>
      </c>
    </row>
    <row r="23" spans="1:2" x14ac:dyDescent="0.2">
      <c r="A23" t="s">
        <v>278</v>
      </c>
      <c r="B23" s="15">
        <f>IFERROR(COUNTIF(NORMATIVOS!$C$175:$D$192,"Consolidado")/(COUNTA(NORMATIVOS!$C$175:$D$192)-COUNTIF(NORMATIVOS!$C$175:$D$192,"N/A")),0)</f>
        <v>0.5</v>
      </c>
    </row>
    <row r="24" spans="1:2" x14ac:dyDescent="0.2">
      <c r="A24" t="s">
        <v>190</v>
      </c>
      <c r="B24" s="15">
        <f>IFERROR(COUNTIF(NORMATIVOS!$C$193:$D$216,"Consolidado")/(COUNTA(NORMATIVOS!$C$193:$D$216)-COUNTIF(NORMATIVOS!$C$193:$D$216,"N/A")),0)</f>
        <v>0.45833333333333331</v>
      </c>
    </row>
    <row r="25" spans="1:2" x14ac:dyDescent="0.2">
      <c r="A25" t="s">
        <v>212</v>
      </c>
      <c r="B25" s="15">
        <f>IFERROR(COUNTIF(NORMATIVOS!$C$217:$D$229,"Consolidado")/(COUNTA(NORMATIVOS!$C$217:$D$229)-COUNTIF(NORMATIVOS!$C$217:$D$229,"N/A")),0)</f>
        <v>0.23076923076923078</v>
      </c>
    </row>
    <row r="26" spans="1:2" x14ac:dyDescent="0.2">
      <c r="A26" t="s">
        <v>223</v>
      </c>
      <c r="B26" s="15">
        <f>IFERROR(COUNTIF(NORMATIVOS!$C$232:$D$259,"Consolidado")/(COUNTA(NORMATIVOS!$C$232:$D$259)-COUNTIF(NORMATIVOS!$C$232:$D$259,"N/A")),0)</f>
        <v>0.5357142857142857</v>
      </c>
    </row>
    <row r="27" spans="1:2" x14ac:dyDescent="0.2">
      <c r="A27" t="s">
        <v>248</v>
      </c>
      <c r="B27" s="15">
        <f>IFERROR(COUNTIF(NORMATIVOS!$C$260:$D$276,"Consolidado")/(COUNTA(NORMATIVOS!$C$260:$D$276)-COUNTIF(NORMATIVOS!$C$260:$D$276,"N/A")),0)</f>
        <v>0.29411764705882354</v>
      </c>
    </row>
  </sheetData>
  <mergeCells count="2">
    <mergeCell ref="A10:B10"/>
    <mergeCell ref="A1:H1"/>
  </mergeCells>
  <pageMargins left="0.75" right="0.75" top="1" bottom="1" header="0.5" footer="0.5"/>
  <pageSetup fitToHeight="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33"/>
  <sheetViews>
    <sheetView showGridLines="0" zoomScale="141" workbookViewId="0">
      <pane ySplit="3" topLeftCell="A4" activePane="bottomLeft" state="frozen"/>
      <selection activeCell="D1" sqref="D1"/>
      <selection pane="bottomLeft" activeCell="H9" sqref="H9"/>
    </sheetView>
  </sheetViews>
  <sheetFormatPr baseColWidth="10" defaultColWidth="8.83203125" defaultRowHeight="15" x14ac:dyDescent="0.2"/>
  <cols>
    <col min="1" max="1" width="30" customWidth="1"/>
    <col min="2" max="2" width="18" customWidth="1"/>
    <col min="3" max="5" width="14" customWidth="1"/>
    <col min="6" max="6" width="10" customWidth="1"/>
    <col min="7" max="7" width="13" customWidth="1"/>
    <col min="8" max="8" width="24" customWidth="1"/>
  </cols>
  <sheetData>
    <row r="1" spans="1:8" ht="22" x14ac:dyDescent="0.3">
      <c r="A1" s="62" t="s">
        <v>279</v>
      </c>
      <c r="B1" s="59"/>
      <c r="C1" s="59"/>
      <c r="D1" s="59"/>
      <c r="E1" s="59"/>
      <c r="F1" s="59"/>
      <c r="G1" s="59"/>
      <c r="H1" s="59"/>
    </row>
    <row r="3" spans="1:8" x14ac:dyDescent="0.2">
      <c r="A3" s="11" t="s">
        <v>280</v>
      </c>
      <c r="B3" s="11" t="s">
        <v>281</v>
      </c>
      <c r="C3" s="11" t="s">
        <v>282</v>
      </c>
      <c r="D3" s="11" t="s">
        <v>273</v>
      </c>
      <c r="E3" s="11" t="s">
        <v>4</v>
      </c>
      <c r="F3" s="11" t="s">
        <v>269</v>
      </c>
      <c r="G3" s="11" t="s">
        <v>283</v>
      </c>
      <c r="H3" s="11" t="s">
        <v>284</v>
      </c>
    </row>
    <row r="4" spans="1:8" x14ac:dyDescent="0.2">
      <c r="A4" s="12" t="str">
        <f>NORMATIVOS!C1</f>
        <v>Angel Babun</v>
      </c>
      <c r="B4" s="12">
        <f>COUNTA(NORMATIVOS!$C$3:$C$276)</f>
        <v>264</v>
      </c>
      <c r="C4" s="12">
        <f>COUNTIF(NORMATIVOS!$C$3:$C$276,"Consolidado")</f>
        <v>113</v>
      </c>
      <c r="D4" s="12">
        <f>COUNTIF(NORMATIVOS!$C$3:$C$276,"En proceso")</f>
        <v>49</v>
      </c>
      <c r="E4" s="12">
        <f>COUNTIF(NORMATIVOS!$C$3:$C$276,"Proyección")</f>
        <v>100</v>
      </c>
      <c r="F4" s="12">
        <f>COUNTIF(NORMATIVOS!$C$3:$C$276,"N/A")</f>
        <v>2</v>
      </c>
      <c r="G4" s="13">
        <f>IFERROR(C4/(B4-F4),0)</f>
        <v>0.43129770992366412</v>
      </c>
      <c r="H4" s="12" t="str">
        <f>IF(G4&gt;=0.8,"Alto avance",IF(G4&gt;=0.5,"Avance medio","Requiere seguimiento"))</f>
        <v>Requiere seguimiento</v>
      </c>
    </row>
    <row r="5" spans="1:8" x14ac:dyDescent="0.2">
      <c r="A5" s="12" t="str">
        <f>NORMATIVOS!D1</f>
        <v>Felix Mogollon</v>
      </c>
      <c r="B5" s="12">
        <f>COUNTA(NORMATIVOS!$D$3:$D$276)</f>
        <v>264</v>
      </c>
      <c r="C5" s="12">
        <f>COUNTIF(NORMATIVOS!$D$3:$D$276,"Consolidado")</f>
        <v>110</v>
      </c>
      <c r="D5" s="12">
        <f>COUNTIF(NORMATIVOS!$D$3:$D$276,"En proceso")</f>
        <v>53</v>
      </c>
      <c r="E5" s="12">
        <f>COUNTIF(NORMATIVOS!$D$3:$D$276,"Proyección")</f>
        <v>100</v>
      </c>
      <c r="F5" s="12">
        <f>COUNTIF(NORMATIVOS!$D$3:$D$276,"N/A")</f>
        <v>1</v>
      </c>
      <c r="G5" s="13">
        <f>IFERROR(C5/(B5-F5),0)</f>
        <v>0.41825095057034223</v>
      </c>
      <c r="H5" s="12" t="str">
        <f>IF(G5&gt;=0.8,"Alto avance",IF(G5&gt;=0.5,"Avance medio","Requiere seguimiento"))</f>
        <v>Requiere seguimiento</v>
      </c>
    </row>
    <row r="6" spans="1:8" x14ac:dyDescent="0.2">
      <c r="A6" s="12"/>
      <c r="B6" s="12"/>
      <c r="C6" s="12"/>
      <c r="D6" s="12"/>
      <c r="E6" s="12"/>
      <c r="F6" s="12"/>
      <c r="G6" s="13"/>
      <c r="H6" s="12"/>
    </row>
    <row r="7" spans="1:8" x14ac:dyDescent="0.2">
      <c r="A7" s="12"/>
      <c r="B7" s="12"/>
      <c r="C7" s="12"/>
      <c r="D7" s="12"/>
      <c r="E7" s="12"/>
      <c r="F7" s="12"/>
      <c r="G7" s="13"/>
      <c r="H7" s="12"/>
    </row>
    <row r="8" spans="1:8" x14ac:dyDescent="0.2">
      <c r="A8" s="12"/>
      <c r="B8" s="12"/>
      <c r="C8" s="12"/>
      <c r="D8" s="12"/>
      <c r="E8" s="12"/>
      <c r="F8" s="12"/>
      <c r="G8" s="13"/>
      <c r="H8" s="12"/>
    </row>
    <row r="9" spans="1:8" x14ac:dyDescent="0.2">
      <c r="A9" s="12"/>
      <c r="B9" s="12"/>
      <c r="C9" s="12"/>
      <c r="D9" s="12"/>
      <c r="E9" s="12"/>
      <c r="F9" s="12"/>
      <c r="G9" s="13"/>
      <c r="H9" s="12"/>
    </row>
    <row r="10" spans="1:8" x14ac:dyDescent="0.2">
      <c r="A10" s="12"/>
      <c r="B10" s="12"/>
      <c r="C10" s="12"/>
      <c r="D10" s="12"/>
      <c r="E10" s="12"/>
      <c r="F10" s="12"/>
      <c r="G10" s="13"/>
      <c r="H10" s="12"/>
    </row>
    <row r="11" spans="1:8" x14ac:dyDescent="0.2">
      <c r="A11" s="12"/>
      <c r="B11" s="12"/>
      <c r="C11" s="12"/>
      <c r="D11" s="12"/>
      <c r="E11" s="12"/>
      <c r="F11" s="12"/>
      <c r="G11" s="13"/>
      <c r="H11" s="12"/>
    </row>
    <row r="12" spans="1:8" x14ac:dyDescent="0.2">
      <c r="A12" s="12"/>
      <c r="B12" s="12"/>
      <c r="C12" s="12"/>
      <c r="D12" s="12"/>
      <c r="E12" s="12"/>
      <c r="F12" s="12"/>
      <c r="G12" s="13"/>
      <c r="H12" s="12"/>
    </row>
    <row r="13" spans="1:8" x14ac:dyDescent="0.2">
      <c r="A13" s="12"/>
      <c r="B13" s="12"/>
      <c r="C13" s="12"/>
      <c r="D13" s="12"/>
      <c r="E13" s="12"/>
      <c r="F13" s="12"/>
      <c r="G13" s="13"/>
      <c r="H13" s="12"/>
    </row>
    <row r="14" spans="1:8" x14ac:dyDescent="0.2">
      <c r="A14" s="12"/>
      <c r="B14" s="12"/>
      <c r="C14" s="12"/>
      <c r="D14" s="12"/>
      <c r="E14" s="12"/>
      <c r="F14" s="12"/>
      <c r="G14" s="13"/>
      <c r="H14" s="12"/>
    </row>
    <row r="15" spans="1:8" x14ac:dyDescent="0.2">
      <c r="A15" s="12"/>
      <c r="B15" s="12"/>
      <c r="C15" s="12"/>
      <c r="D15" s="12"/>
      <c r="E15" s="12"/>
      <c r="F15" s="12"/>
      <c r="G15" s="13"/>
      <c r="H15" s="12"/>
    </row>
    <row r="16" spans="1:8" x14ac:dyDescent="0.2">
      <c r="A16" s="12"/>
      <c r="B16" s="12"/>
      <c r="C16" s="12"/>
      <c r="D16" s="12"/>
      <c r="E16" s="12"/>
      <c r="F16" s="12"/>
      <c r="G16" s="13"/>
      <c r="H16" s="12"/>
    </row>
    <row r="17" spans="1:8" x14ac:dyDescent="0.2">
      <c r="A17" s="12"/>
      <c r="B17" s="12"/>
      <c r="C17" s="12"/>
      <c r="D17" s="12"/>
      <c r="E17" s="12"/>
      <c r="F17" s="12"/>
      <c r="G17" s="13"/>
      <c r="H17" s="12"/>
    </row>
    <row r="18" spans="1:8" x14ac:dyDescent="0.2">
      <c r="A18" s="12"/>
      <c r="B18" s="12"/>
      <c r="C18" s="12"/>
      <c r="D18" s="12"/>
      <c r="E18" s="12"/>
      <c r="F18" s="12"/>
      <c r="G18" s="13"/>
      <c r="H18" s="12"/>
    </row>
    <row r="19" spans="1:8" x14ac:dyDescent="0.2">
      <c r="A19" s="12"/>
      <c r="B19" s="12"/>
      <c r="C19" s="12"/>
      <c r="D19" s="12"/>
      <c r="E19" s="12"/>
      <c r="F19" s="12"/>
      <c r="G19" s="13"/>
      <c r="H19" s="12"/>
    </row>
    <row r="20" spans="1:8" x14ac:dyDescent="0.2">
      <c r="A20" s="12"/>
      <c r="B20" s="12"/>
      <c r="C20" s="12"/>
      <c r="D20" s="12"/>
      <c r="E20" s="12"/>
      <c r="F20" s="12"/>
      <c r="G20" s="13"/>
      <c r="H20" s="12"/>
    </row>
    <row r="21" spans="1:8" x14ac:dyDescent="0.2">
      <c r="A21" s="12"/>
      <c r="B21" s="12"/>
      <c r="C21" s="12"/>
      <c r="D21" s="12"/>
      <c r="E21" s="12"/>
      <c r="F21" s="12"/>
      <c r="G21" s="13"/>
      <c r="H21" s="12"/>
    </row>
    <row r="22" spans="1:8" x14ac:dyDescent="0.2">
      <c r="A22" s="12"/>
      <c r="B22" s="12"/>
      <c r="C22" s="12"/>
      <c r="D22" s="12"/>
      <c r="E22" s="12"/>
      <c r="F22" s="12"/>
      <c r="G22" s="13"/>
      <c r="H22" s="12"/>
    </row>
    <row r="23" spans="1:8" x14ac:dyDescent="0.2">
      <c r="A23" s="12"/>
      <c r="B23" s="12"/>
      <c r="C23" s="12"/>
      <c r="D23" s="12"/>
      <c r="E23" s="12"/>
      <c r="F23" s="12"/>
      <c r="G23" s="13"/>
      <c r="H23" s="12"/>
    </row>
    <row r="24" spans="1:8" x14ac:dyDescent="0.2">
      <c r="A24" s="12"/>
      <c r="B24" s="12"/>
      <c r="C24" s="12"/>
      <c r="D24" s="12"/>
      <c r="E24" s="12"/>
      <c r="F24" s="12"/>
      <c r="G24" s="13"/>
      <c r="H24" s="12"/>
    </row>
    <row r="25" spans="1:8" x14ac:dyDescent="0.2">
      <c r="A25" s="12"/>
      <c r="B25" s="12"/>
      <c r="C25" s="12"/>
      <c r="D25" s="12"/>
      <c r="E25" s="12"/>
      <c r="F25" s="12"/>
      <c r="G25" s="13"/>
      <c r="H25" s="12"/>
    </row>
    <row r="26" spans="1:8" x14ac:dyDescent="0.2">
      <c r="A26" s="12"/>
      <c r="B26" s="12"/>
      <c r="C26" s="12"/>
      <c r="D26" s="12"/>
      <c r="E26" s="12"/>
      <c r="F26" s="12"/>
      <c r="G26" s="13"/>
      <c r="H26" s="12"/>
    </row>
    <row r="27" spans="1:8" x14ac:dyDescent="0.2">
      <c r="A27" s="12"/>
      <c r="B27" s="12"/>
      <c r="C27" s="12"/>
      <c r="D27" s="12"/>
      <c r="E27" s="12"/>
      <c r="F27" s="12"/>
      <c r="G27" s="13"/>
      <c r="H27" s="12"/>
    </row>
    <row r="28" spans="1:8" x14ac:dyDescent="0.2">
      <c r="A28" s="12"/>
      <c r="B28" s="12"/>
      <c r="C28" s="12"/>
      <c r="D28" s="12"/>
      <c r="E28" s="12"/>
      <c r="F28" s="12"/>
      <c r="G28" s="13"/>
      <c r="H28" s="12"/>
    </row>
    <row r="29" spans="1:8" x14ac:dyDescent="0.2">
      <c r="A29" s="12"/>
      <c r="B29" s="12"/>
      <c r="C29" s="12"/>
      <c r="D29" s="12"/>
      <c r="E29" s="12"/>
      <c r="F29" s="12"/>
      <c r="G29" s="13"/>
      <c r="H29" s="12"/>
    </row>
    <row r="30" spans="1:8" x14ac:dyDescent="0.2">
      <c r="A30" s="12"/>
      <c r="B30" s="12"/>
      <c r="C30" s="12"/>
      <c r="D30" s="12"/>
      <c r="E30" s="12"/>
      <c r="F30" s="12"/>
      <c r="G30" s="13"/>
      <c r="H30" s="12"/>
    </row>
    <row r="31" spans="1:8" x14ac:dyDescent="0.2">
      <c r="A31" s="12"/>
      <c r="B31" s="12"/>
      <c r="C31" s="12"/>
      <c r="D31" s="12"/>
      <c r="E31" s="12"/>
      <c r="F31" s="12"/>
      <c r="G31" s="13"/>
      <c r="H31" s="12"/>
    </row>
    <row r="32" spans="1:8" x14ac:dyDescent="0.2">
      <c r="A32" s="12"/>
      <c r="B32" s="12"/>
      <c r="C32" s="12"/>
      <c r="D32" s="12"/>
      <c r="E32" s="12"/>
      <c r="F32" s="12"/>
      <c r="G32" s="13"/>
      <c r="H32" s="12"/>
    </row>
    <row r="33" spans="1:8" x14ac:dyDescent="0.2">
      <c r="A33" s="12"/>
      <c r="B33" s="12"/>
      <c r="C33" s="12"/>
      <c r="D33" s="12"/>
      <c r="E33" s="12"/>
      <c r="F33" s="12"/>
      <c r="G33" s="13"/>
      <c r="H33" s="12"/>
    </row>
  </sheetData>
  <mergeCells count="1">
    <mergeCell ref="A1:H1"/>
  </mergeCells>
  <pageMargins left="0.75" right="0.75" top="1" bottom="1" header="0.5" footer="0.5"/>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7"/>
  <sheetViews>
    <sheetView showGridLines="0" zoomScale="90" workbookViewId="0"/>
  </sheetViews>
  <sheetFormatPr baseColWidth="10" defaultColWidth="8.83203125" defaultRowHeight="15" x14ac:dyDescent="0.2"/>
  <cols>
    <col min="1" max="1" width="20" customWidth="1"/>
    <col min="3" max="3" width="28" customWidth="1"/>
    <col min="5" max="5" width="65" customWidth="1"/>
    <col min="7" max="7" width="22.83203125" bestFit="1" customWidth="1"/>
    <col min="8" max="8" width="12.1640625" bestFit="1" customWidth="1"/>
    <col min="9" max="9" width="19.1640625" bestFit="1" customWidth="1"/>
  </cols>
  <sheetData>
    <row r="1" spans="1:9" x14ac:dyDescent="0.2">
      <c r="A1" s="10" t="s">
        <v>266</v>
      </c>
      <c r="C1" s="10" t="s">
        <v>267</v>
      </c>
      <c r="E1" s="10" t="s">
        <v>268</v>
      </c>
      <c r="G1" s="45" t="s">
        <v>328</v>
      </c>
    </row>
    <row r="2" spans="1:9" x14ac:dyDescent="0.2">
      <c r="A2" t="s">
        <v>269</v>
      </c>
      <c r="C2" t="s">
        <v>1</v>
      </c>
      <c r="E2" t="s">
        <v>270</v>
      </c>
      <c r="G2" s="45" t="s">
        <v>291</v>
      </c>
      <c r="H2" s="45" t="s">
        <v>329</v>
      </c>
      <c r="I2" s="45" t="s">
        <v>330</v>
      </c>
    </row>
    <row r="3" spans="1:9" x14ac:dyDescent="0.2">
      <c r="A3" t="s">
        <v>4</v>
      </c>
      <c r="C3" t="s">
        <v>271</v>
      </c>
      <c r="E3" t="s">
        <v>272</v>
      </c>
      <c r="G3" t="s">
        <v>3</v>
      </c>
      <c r="H3" t="s">
        <v>331</v>
      </c>
      <c r="I3" t="s">
        <v>332</v>
      </c>
    </row>
    <row r="4" spans="1:9" x14ac:dyDescent="0.2">
      <c r="A4" t="s">
        <v>273</v>
      </c>
      <c r="C4" t="s">
        <v>274</v>
      </c>
      <c r="E4" t="s">
        <v>275</v>
      </c>
      <c r="G4" t="s">
        <v>273</v>
      </c>
      <c r="H4" t="s">
        <v>333</v>
      </c>
      <c r="I4" t="s">
        <v>334</v>
      </c>
    </row>
    <row r="5" spans="1:9" x14ac:dyDescent="0.2">
      <c r="A5" t="s">
        <v>3</v>
      </c>
      <c r="C5" t="s">
        <v>276</v>
      </c>
      <c r="E5" t="s">
        <v>277</v>
      </c>
      <c r="G5" t="s">
        <v>4</v>
      </c>
      <c r="H5" t="s">
        <v>335</v>
      </c>
      <c r="I5" t="s">
        <v>336</v>
      </c>
    </row>
    <row r="6" spans="1:9" x14ac:dyDescent="0.2">
      <c r="C6" t="s">
        <v>52</v>
      </c>
      <c r="G6" t="s">
        <v>269</v>
      </c>
      <c r="H6" t="s">
        <v>337</v>
      </c>
      <c r="I6" t="s">
        <v>338</v>
      </c>
    </row>
    <row r="7" spans="1:9" x14ac:dyDescent="0.2">
      <c r="C7" t="s">
        <v>69</v>
      </c>
    </row>
    <row r="8" spans="1:9" x14ac:dyDescent="0.2">
      <c r="C8" t="s">
        <v>79</v>
      </c>
    </row>
    <row r="9" spans="1:9" x14ac:dyDescent="0.2">
      <c r="C9" t="s">
        <v>105</v>
      </c>
    </row>
    <row r="10" spans="1:9" x14ac:dyDescent="0.2">
      <c r="C10" t="s">
        <v>120</v>
      </c>
    </row>
    <row r="11" spans="1:9" x14ac:dyDescent="0.2">
      <c r="C11" t="s">
        <v>142</v>
      </c>
    </row>
    <row r="12" spans="1:9" x14ac:dyDescent="0.2">
      <c r="C12" t="s">
        <v>150</v>
      </c>
    </row>
    <row r="13" spans="1:9" x14ac:dyDescent="0.2">
      <c r="C13" t="s">
        <v>278</v>
      </c>
    </row>
    <row r="14" spans="1:9" x14ac:dyDescent="0.2">
      <c r="C14" t="s">
        <v>190</v>
      </c>
    </row>
    <row r="15" spans="1:9" x14ac:dyDescent="0.2">
      <c r="C15" t="s">
        <v>212</v>
      </c>
    </row>
    <row r="16" spans="1:9" x14ac:dyDescent="0.2">
      <c r="C16" t="s">
        <v>223</v>
      </c>
    </row>
    <row r="17" spans="3:3" x14ac:dyDescent="0.2">
      <c r="C17" t="s">
        <v>248</v>
      </c>
    </row>
  </sheetData>
  <pageMargins left="0.75" right="0.75" top="1" bottom="1" header="0.5" footer="0.5"/>
  <pageSetup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706A0-A29E-6B4E-B1D3-B2ABD15D9C31}">
  <sheetPr>
    <pageSetUpPr fitToPage="1"/>
  </sheetPr>
  <dimension ref="A1:I290"/>
  <sheetViews>
    <sheetView showGridLines="0" topLeftCell="A157" zoomScale="90" workbookViewId="0">
      <selection activeCell="C204" sqref="C204"/>
    </sheetView>
  </sheetViews>
  <sheetFormatPr baseColWidth="10" defaultColWidth="8.83203125" defaultRowHeight="15" x14ac:dyDescent="0.2"/>
  <cols>
    <col min="1" max="1" width="30" bestFit="1" customWidth="1"/>
    <col min="2" max="2" width="54" customWidth="1"/>
    <col min="3" max="3" width="18" customWidth="1"/>
    <col min="4" max="5" width="25" customWidth="1"/>
    <col min="6" max="7" width="14" customWidth="1"/>
    <col min="8" max="8" width="13" customWidth="1"/>
    <col min="9" max="9" width="18.33203125" customWidth="1"/>
  </cols>
  <sheetData>
    <row r="1" spans="1:9" ht="22" x14ac:dyDescent="0.3">
      <c r="A1" s="62" t="s">
        <v>339</v>
      </c>
      <c r="B1" s="59"/>
      <c r="C1" s="59"/>
      <c r="D1" s="59"/>
      <c r="E1" s="59"/>
      <c r="F1" s="59"/>
      <c r="G1" s="59"/>
      <c r="H1" s="59"/>
    </row>
    <row r="3" spans="1:9" x14ac:dyDescent="0.2">
      <c r="A3" s="14" t="s">
        <v>286</v>
      </c>
      <c r="B3" t="str">
        <f>NORMATIVOS!C1</f>
        <v>Angel Babun</v>
      </c>
    </row>
    <row r="5" spans="1:9" x14ac:dyDescent="0.2">
      <c r="A5" s="11" t="s">
        <v>287</v>
      </c>
      <c r="D5" s="11" t="s">
        <v>288</v>
      </c>
      <c r="E5" s="11" t="s">
        <v>3</v>
      </c>
      <c r="F5" s="11" t="s">
        <v>273</v>
      </c>
      <c r="G5" s="11" t="s">
        <v>4</v>
      </c>
      <c r="H5" s="11" t="s">
        <v>283</v>
      </c>
      <c r="I5" s="11" t="s">
        <v>340</v>
      </c>
    </row>
    <row r="6" spans="1:9" x14ac:dyDescent="0.2">
      <c r="A6" s="14" t="s">
        <v>281</v>
      </c>
      <c r="B6">
        <f>INDEX(CONSOLIDADO!$B$4:$B$5,MATCH($B$3,CONSOLIDADO!$A$4:$A$5,0))</f>
        <v>264</v>
      </c>
      <c r="D6" t="s">
        <v>1</v>
      </c>
      <c r="E6">
        <f>--(INDEX(NORMATIVOS!$C$3:$Z$3,1,MATCH($B$3,NORMATIVOS!$C$1:$Z$1,0))="Consolidado")+--(INDEX(NORMATIVOS!$C$4:$Z$4,1,MATCH($B$3,NORMATIVOS!$C$1:$Z$1,0))="Consolidado")+--(INDEX(NORMATIVOS!$C$5:$Z$5,1,MATCH($B$3,NORMATIVOS!$C$1:$Z$1,0))="Consolidado")+--(INDEX(NORMATIVOS!$C$6:$Z$6,1,MATCH($B$3,NORMATIVOS!$C$1:$Z$1,0))="Consolidado")+--(INDEX(NORMATIVOS!$C$7:$Z$7,1,MATCH($B$3,NORMATIVOS!$C$1:$Z$1,0))="Consolidado")+--(INDEX(NORMATIVOS!$C$8:$Z$8,1,MATCH($B$3,NORMATIVOS!$C$1:$Z$1,0))="Consolidado")+--(INDEX(NORMATIVOS!$C$9:$Z$9,1,MATCH($B$3,NORMATIVOS!$C$1:$Z$1,0))="Consolidado")+--(INDEX(NORMATIVOS!$C$10:$Z$10,1,MATCH($B$3,NORMATIVOS!$C$1:$Z$1,0))="Consolidado")+--(INDEX(NORMATIVOS!$C$11:$Z$11,1,MATCH($B$3,NORMATIVOS!$C$1:$Z$1,0))="Consolidado")+--(INDEX(NORMATIVOS!$C$12:$Z$12,1,MATCH($B$3,NORMATIVOS!$C$1:$Z$1,0))="Consolidado")+--(INDEX(NORMATIVOS!$C$13:$Z$13,1,MATCH($B$3,NORMATIVOS!$C$1:$Z$1,0))="Consolidado")+--(INDEX(NORMATIVOS!$C$14:$Z$14,1,MATCH($B$3,NORMATIVOS!$C$1:$Z$1,0))="Consolidado")+--(INDEX(NORMATIVOS!$C$15:$Z$15,1,MATCH($B$3,NORMATIVOS!$C$1:$Z$1,0))="Consolidado")+--(INDEX(NORMATIVOS!$C$16:$Z$16,1,MATCH($B$3,NORMATIVOS!$C$1:$Z$1,0))="Consolidado")</f>
        <v>9</v>
      </c>
      <c r="F6">
        <f>--(INDEX(NORMATIVOS!$C$3:$Z$3,1,MATCH($B$3,NORMATIVOS!$C$1:$Z$1,0))="En proceso")+--(INDEX(NORMATIVOS!$C$4:$Z$4,1,MATCH($B$3,NORMATIVOS!$C$1:$Z$1,0))="En proceso")+--(INDEX(NORMATIVOS!$C$5:$Z$5,1,MATCH($B$3,NORMATIVOS!$C$1:$Z$1,0))="En proceso")+--(INDEX(NORMATIVOS!$C$6:$Z$6,1,MATCH($B$3,NORMATIVOS!$C$1:$Z$1,0))="En proceso")+--(INDEX(NORMATIVOS!$C$7:$Z$7,1,MATCH($B$3,NORMATIVOS!$C$1:$Z$1,0))="En proceso")+--(INDEX(NORMATIVOS!$C$8:$Z$8,1,MATCH($B$3,NORMATIVOS!$C$1:$Z$1,0))="En proceso")+--(INDEX(NORMATIVOS!$C$9:$Z$9,1,MATCH($B$3,NORMATIVOS!$C$1:$Z$1,0))="En proceso")+--(INDEX(NORMATIVOS!$C$10:$Z$10,1,MATCH($B$3,NORMATIVOS!$C$1:$Z$1,0))="En proceso")+--(INDEX(NORMATIVOS!$C$11:$Z$11,1,MATCH($B$3,NORMATIVOS!$C$1:$Z$1,0))="En proceso")+--(INDEX(NORMATIVOS!$C$12:$Z$12,1,MATCH($B$3,NORMATIVOS!$C$1:$Z$1,0))="En proceso")+--(INDEX(NORMATIVOS!$C$13:$Z$13,1,MATCH($B$3,NORMATIVOS!$C$1:$Z$1,0))="En proceso")+--(INDEX(NORMATIVOS!$C$14:$Z$14,1,MATCH($B$3,NORMATIVOS!$C$1:$Z$1,0))="En proceso")+--(INDEX(NORMATIVOS!$C$15:$Z$15,1,MATCH($B$3,NORMATIVOS!$C$1:$Z$1,0))="En proceso")+--(INDEX(NORMATIVOS!$C$16:$Z$16,1,MATCH($B$3,NORMATIVOS!$C$1:$Z$1,0))="En proceso")</f>
        <v>5</v>
      </c>
      <c r="G6">
        <f>--(INDEX(NORMATIVOS!$C$3:$Z$3,1,MATCH($B$3,NORMATIVOS!$C$1:$Z$1,0))="Proyección")+--(INDEX(NORMATIVOS!$C$4:$Z$4,1,MATCH($B$3,NORMATIVOS!$C$1:$Z$1,0))="Proyección")+--(INDEX(NORMATIVOS!$C$5:$Z$5,1,MATCH($B$3,NORMATIVOS!$C$1:$Z$1,0))="Proyección")+--(INDEX(NORMATIVOS!$C$6:$Z$6,1,MATCH($B$3,NORMATIVOS!$C$1:$Z$1,0))="Proyección")+--(INDEX(NORMATIVOS!$C$7:$Z$7,1,MATCH($B$3,NORMATIVOS!$C$1:$Z$1,0))="Proyección")+--(INDEX(NORMATIVOS!$C$8:$Z$8,1,MATCH($B$3,NORMATIVOS!$C$1:$Z$1,0))="Proyección")+--(INDEX(NORMATIVOS!$C$9:$Z$9,1,MATCH($B$3,NORMATIVOS!$C$1:$Z$1,0))="Proyección")+--(INDEX(NORMATIVOS!$C$10:$Z$10,1,MATCH($B$3,NORMATIVOS!$C$1:$Z$1,0))="Proyección")+--(INDEX(NORMATIVOS!$C$11:$Z$11,1,MATCH($B$3,NORMATIVOS!$C$1:$Z$1,0))="Proyección")+--(INDEX(NORMATIVOS!$C$12:$Z$12,1,MATCH($B$3,NORMATIVOS!$C$1:$Z$1,0))="Proyección")+--(INDEX(NORMATIVOS!$C$13:$Z$13,1,MATCH($B$3,NORMATIVOS!$C$1:$Z$1,0))="Proyección")+--(INDEX(NORMATIVOS!$C$14:$Z$14,1,MATCH($B$3,NORMATIVOS!$C$1:$Z$1,0))="Proyección")+--(INDEX(NORMATIVOS!$C$15:$Z$15,1,MATCH($B$3,NORMATIVOS!$C$1:$Z$1,0))="Proyección")+--(INDEX(NORMATIVOS!$C$16:$Z$16,1,MATCH($B$3,NORMATIVOS!$C$1:$Z$1,0))="Proyección")</f>
        <v>0</v>
      </c>
      <c r="H6" s="15">
        <f t="shared" ref="H6:H21" si="0">IFERROR(E6/(E6+F6+G6),0)</f>
        <v>0.6428571428571429</v>
      </c>
      <c r="I6" t="str">
        <f>IF(F6&gt;0,CATALOGOS!$H$4,IF(G6&gt;0,CATALOGOS!$H$5,CATALOGOS!$H$3))</f>
        <v>Mesociclo</v>
      </c>
    </row>
    <row r="7" spans="1:9" x14ac:dyDescent="0.2">
      <c r="A7" s="14" t="s">
        <v>282</v>
      </c>
      <c r="B7">
        <f>INDEX(CONSOLIDADO!$C$4:$C$5,MATCH($B$3,CONSOLIDADO!$A$4:$A$5,0))</f>
        <v>113</v>
      </c>
      <c r="D7" t="s">
        <v>271</v>
      </c>
      <c r="E7">
        <f>--(INDEX(NORMATIVOS!$C$17:$Z$17,1,MATCH($B$3,NORMATIVOS!$C$1:$Z$1,0))="Consolidado")+--(INDEX(NORMATIVOS!$C$18:$Z$18,1,MATCH($B$3,NORMATIVOS!$C$1:$Z$1,0))="Consolidado")+--(INDEX(NORMATIVOS!$C$19:$Z$19,1,MATCH($B$3,NORMATIVOS!$C$1:$Z$1,0))="Consolidado")+--(INDEX(NORMATIVOS!$C$20:$Z$20,1,MATCH($B$3,NORMATIVOS!$C$1:$Z$1,0))="Consolidado")+--(INDEX(NORMATIVOS!$C$21:$Z$21,1,MATCH($B$3,NORMATIVOS!$C$1:$Z$1,0))="Consolidado")+--(INDEX(NORMATIVOS!$C$22:$Z$22,1,MATCH($B$3,NORMATIVOS!$C$1:$Z$1,0))="Consolidado")+--(INDEX(NORMATIVOS!$C$23:$Z$23,1,MATCH($B$3,NORMATIVOS!$C$1:$Z$1,0))="Consolidado")+--(INDEX(NORMATIVOS!$C$24:$Z$24,1,MATCH($B$3,NORMATIVOS!$C$1:$Z$1,0))="Consolidado")+--(INDEX(NORMATIVOS!$C$25:$Z$25,1,MATCH($B$3,NORMATIVOS!$C$1:$Z$1,0))="Consolidado")+--(INDEX(NORMATIVOS!$C$26:$Z$26,1,MATCH($B$3,NORMATIVOS!$C$1:$Z$1,0))="Consolidado")+--(INDEX(NORMATIVOS!$C$27:$Z$27,1,MATCH($B$3,NORMATIVOS!$C$1:$Z$1,0))="Consolidado")</f>
        <v>8</v>
      </c>
      <c r="F7">
        <f>--(INDEX(NORMATIVOS!$C$17:$Z$17,1,MATCH($B$3,NORMATIVOS!$C$1:$Z$1,0))="En proceso")+--(INDEX(NORMATIVOS!$C$18:$Z$18,1,MATCH($B$3,NORMATIVOS!$C$1:$Z$1,0))="En proceso")+--(INDEX(NORMATIVOS!$C$19:$Z$19,1,MATCH($B$3,NORMATIVOS!$C$1:$Z$1,0))="En proceso")+--(INDEX(NORMATIVOS!$C$20:$Z$20,1,MATCH($B$3,NORMATIVOS!$C$1:$Z$1,0))="En proceso")+--(INDEX(NORMATIVOS!$C$21:$Z$21,1,MATCH($B$3,NORMATIVOS!$C$1:$Z$1,0))="En proceso")+--(INDEX(NORMATIVOS!$C$22:$Z$22,1,MATCH($B$3,NORMATIVOS!$C$1:$Z$1,0))="En proceso")+--(INDEX(NORMATIVOS!$C$23:$Z$23,1,MATCH($B$3,NORMATIVOS!$C$1:$Z$1,0))="En proceso")+--(INDEX(NORMATIVOS!$C$24:$Z$24,1,MATCH($B$3,NORMATIVOS!$C$1:$Z$1,0))="En proceso")+--(INDEX(NORMATIVOS!$C$25:$Z$25,1,MATCH($B$3,NORMATIVOS!$C$1:$Z$1,0))="En proceso")+--(INDEX(NORMATIVOS!$C$26:$Z$26,1,MATCH($B$3,NORMATIVOS!$C$1:$Z$1,0))="En proceso")+--(INDEX(NORMATIVOS!$C$27:$Z$27,1,MATCH($B$3,NORMATIVOS!$C$1:$Z$1,0))="En proceso")</f>
        <v>2</v>
      </c>
      <c r="G7">
        <f>--(INDEX(NORMATIVOS!$C$17:$Z$17,1,MATCH($B$3,NORMATIVOS!$C$1:$Z$1,0))="Proyección")+--(INDEX(NORMATIVOS!$C$18:$Z$18,1,MATCH($B$3,NORMATIVOS!$C$1:$Z$1,0))="Proyección")+--(INDEX(NORMATIVOS!$C$19:$Z$19,1,MATCH($B$3,NORMATIVOS!$C$1:$Z$1,0))="Proyección")+--(INDEX(NORMATIVOS!$C$20:$Z$20,1,MATCH($B$3,NORMATIVOS!$C$1:$Z$1,0))="Proyección")+--(INDEX(NORMATIVOS!$C$21:$Z$21,1,MATCH($B$3,NORMATIVOS!$C$1:$Z$1,0))="Proyección")+--(INDEX(NORMATIVOS!$C$22:$Z$22,1,MATCH($B$3,NORMATIVOS!$C$1:$Z$1,0))="Proyección")+--(INDEX(NORMATIVOS!$C$23:$Z$23,1,MATCH($B$3,NORMATIVOS!$C$1:$Z$1,0))="Proyección")+--(INDEX(NORMATIVOS!$C$24:$Z$24,1,MATCH($B$3,NORMATIVOS!$C$1:$Z$1,0))="Proyección")+--(INDEX(NORMATIVOS!$C$25:$Z$25,1,MATCH($B$3,NORMATIVOS!$C$1:$Z$1,0))="Proyección")+--(INDEX(NORMATIVOS!$C$26:$Z$26,1,MATCH($B$3,NORMATIVOS!$C$1:$Z$1,0))="Proyección")+--(INDEX(NORMATIVOS!$C$27:$Z$27,1,MATCH($B$3,NORMATIVOS!$C$1:$Z$1,0))="Proyección")</f>
        <v>1</v>
      </c>
      <c r="H7" s="15">
        <f t="shared" si="0"/>
        <v>0.72727272727272729</v>
      </c>
      <c r="I7" t="str">
        <f>IF(F7&gt;0,CATALOGOS!$H$4,IF(G7&gt;0,CATALOGOS!$H$5,CATALOGOS!$H$3))</f>
        <v>Mesociclo</v>
      </c>
    </row>
    <row r="8" spans="1:9" x14ac:dyDescent="0.2">
      <c r="A8" s="14" t="s">
        <v>273</v>
      </c>
      <c r="B8">
        <f>INDEX(CONSOLIDADO!$D$4:$D$5,MATCH($B$3,CONSOLIDADO!$A$4:$A$5,0))</f>
        <v>49</v>
      </c>
      <c r="D8" t="s">
        <v>274</v>
      </c>
      <c r="E8">
        <f>--(INDEX(NORMATIVOS!$C$28:$Z$28,1,MATCH($B$3,NORMATIVOS!$C$1:$Z$1,0))="Consolidado")+--(INDEX(NORMATIVOS!$C$29:$Z$29,1,MATCH($B$3,NORMATIVOS!$C$1:$Z$1,0))="Consolidado")+--(INDEX(NORMATIVOS!$C$30:$Z$30,1,MATCH($B$3,NORMATIVOS!$C$1:$Z$1,0))="Consolidado")+--(INDEX(NORMATIVOS!$C$31:$Z$31,1,MATCH($B$3,NORMATIVOS!$C$1:$Z$1,0))="Consolidado")+--(INDEX(NORMATIVOS!$C$32:$Z$32,1,MATCH($B$3,NORMATIVOS!$C$1:$Z$1,0))="Consolidado")+--(INDEX(NORMATIVOS!$C$33:$Z$33,1,MATCH($B$3,NORMATIVOS!$C$1:$Z$1,0))="Consolidado")+--(INDEX(NORMATIVOS!$C$34:$Z$34,1,MATCH($B$3,NORMATIVOS!$C$1:$Z$1,0))="Consolidado")+--(INDEX(NORMATIVOS!$C$35:$Z$35,1,MATCH($B$3,NORMATIVOS!$C$1:$Z$1,0))="Consolidado")+--(INDEX(NORMATIVOS!$C$36:$Z$36,1,MATCH($B$3,NORMATIVOS!$C$1:$Z$1,0))="Consolidado")+--(INDEX(NORMATIVOS!$C$37:$Z$37,1,MATCH($B$3,NORMATIVOS!$C$1:$Z$1,0))="Consolidado")</f>
        <v>5</v>
      </c>
      <c r="F8">
        <f>--(INDEX(NORMATIVOS!$C$28:$Z$28,1,MATCH($B$3,NORMATIVOS!$C$1:$Z$1,0))="En proceso")+--(INDEX(NORMATIVOS!$C$29:$Z$29,1,MATCH($B$3,NORMATIVOS!$C$1:$Z$1,0))="En proceso")+--(INDEX(NORMATIVOS!$C$30:$Z$30,1,MATCH($B$3,NORMATIVOS!$C$1:$Z$1,0))="En proceso")+--(INDEX(NORMATIVOS!$C$31:$Z$31,1,MATCH($B$3,NORMATIVOS!$C$1:$Z$1,0))="En proceso")+--(INDEX(NORMATIVOS!$C$32:$Z$32,1,MATCH($B$3,NORMATIVOS!$C$1:$Z$1,0))="En proceso")+--(INDEX(NORMATIVOS!$C$33:$Z$33,1,MATCH($B$3,NORMATIVOS!$C$1:$Z$1,0))="En proceso")+--(INDEX(NORMATIVOS!$C$34:$Z$34,1,MATCH($B$3,NORMATIVOS!$C$1:$Z$1,0))="En proceso")+--(INDEX(NORMATIVOS!$C$35:$Z$35,1,MATCH($B$3,NORMATIVOS!$C$1:$Z$1,0))="En proceso")+--(INDEX(NORMATIVOS!$C$36:$Z$36,1,MATCH($B$3,NORMATIVOS!$C$1:$Z$1,0))="En proceso")+--(INDEX(NORMATIVOS!$C$37:$Z$37,1,MATCH($B$3,NORMATIVOS!$C$1:$Z$1,0))="En proceso")</f>
        <v>4</v>
      </c>
      <c r="G8">
        <f>--(INDEX(NORMATIVOS!$C$28:$Z$28,1,MATCH($B$3,NORMATIVOS!$C$1:$Z$1,0))="Proyección")+--(INDEX(NORMATIVOS!$C$29:$Z$29,1,MATCH($B$3,NORMATIVOS!$C$1:$Z$1,0))="Proyección")+--(INDEX(NORMATIVOS!$C$30:$Z$30,1,MATCH($B$3,NORMATIVOS!$C$1:$Z$1,0))="Proyección")+--(INDEX(NORMATIVOS!$C$31:$Z$31,1,MATCH($B$3,NORMATIVOS!$C$1:$Z$1,0))="Proyección")+--(INDEX(NORMATIVOS!$C$32:$Z$32,1,MATCH($B$3,NORMATIVOS!$C$1:$Z$1,0))="Proyección")+--(INDEX(NORMATIVOS!$C$33:$Z$33,1,MATCH($B$3,NORMATIVOS!$C$1:$Z$1,0))="Proyección")+--(INDEX(NORMATIVOS!$C$34:$Z$34,1,MATCH($B$3,NORMATIVOS!$C$1:$Z$1,0))="Proyección")+--(INDEX(NORMATIVOS!$C$35:$Z$35,1,MATCH($B$3,NORMATIVOS!$C$1:$Z$1,0))="Proyección")+--(INDEX(NORMATIVOS!$C$36:$Z$36,1,MATCH($B$3,NORMATIVOS!$C$1:$Z$1,0))="Proyección")+--(INDEX(NORMATIVOS!$C$37:$Z$37,1,MATCH($B$3,NORMATIVOS!$C$1:$Z$1,0))="Proyección")</f>
        <v>1</v>
      </c>
      <c r="H8" s="15">
        <f t="shared" si="0"/>
        <v>0.5</v>
      </c>
      <c r="I8" t="str">
        <f>IF(F8&gt;0,CATALOGOS!$H$4,IF(G8&gt;0,CATALOGOS!$H$5,CATALOGOS!$H$3))</f>
        <v>Mesociclo</v>
      </c>
    </row>
    <row r="9" spans="1:9" x14ac:dyDescent="0.2">
      <c r="A9" s="14" t="s">
        <v>4</v>
      </c>
      <c r="B9">
        <f>INDEX(CONSOLIDADO!$E$4:$E$5,MATCH($B$3,CONSOLIDADO!$A$4:$A$5,0))</f>
        <v>100</v>
      </c>
      <c r="D9" t="s">
        <v>276</v>
      </c>
      <c r="E9">
        <f>--(INDEX(NORMATIVOS!$C$38:$Z$38,1,MATCH($B$3,NORMATIVOS!$C$1:$Z$1,0))="Consolidado")+--(INDEX(NORMATIVOS!$C$39:$Z$39,1,MATCH($B$3,NORMATIVOS!$C$1:$Z$1,0))="Consolidado")+--(INDEX(NORMATIVOS!$C$40:$Z$40,1,MATCH($B$3,NORMATIVOS!$C$1:$Z$1,0))="Consolidado")+--(INDEX(NORMATIVOS!$C$41:$Z$41,1,MATCH($B$3,NORMATIVOS!$C$1:$Z$1,0))="Consolidado")+--(INDEX(NORMATIVOS!$C$42:$Z$42,1,MATCH($B$3,NORMATIVOS!$C$1:$Z$1,0))="Consolidado")+--(INDEX(NORMATIVOS!$C$43:$Z$43,1,MATCH($B$3,NORMATIVOS!$C$1:$Z$1,0))="Consolidado")+--(INDEX(NORMATIVOS!$C$44:$Z$44,1,MATCH($B$3,NORMATIVOS!$C$1:$Z$1,0))="Consolidado")+--(INDEX(NORMATIVOS!$C$45:$Z$45,1,MATCH($B$3,NORMATIVOS!$C$1:$Z$1,0))="Consolidado")+--(INDEX(NORMATIVOS!$C$46:$Z$46,1,MATCH($B$3,NORMATIVOS!$C$1:$Z$1,0))="Consolidado")</f>
        <v>0</v>
      </c>
      <c r="F9">
        <f>--(INDEX(NORMATIVOS!$C$38:$Z$38,1,MATCH($B$3,NORMATIVOS!$C$1:$Z$1,0))="En proceso")+--(INDEX(NORMATIVOS!$C$39:$Z$39,1,MATCH($B$3,NORMATIVOS!$C$1:$Z$1,0))="En proceso")+--(INDEX(NORMATIVOS!$C$40:$Z$40,1,MATCH($B$3,NORMATIVOS!$C$1:$Z$1,0))="En proceso")+--(INDEX(NORMATIVOS!$C$41:$Z$41,1,MATCH($B$3,NORMATIVOS!$C$1:$Z$1,0))="En proceso")+--(INDEX(NORMATIVOS!$C$42:$Z$42,1,MATCH($B$3,NORMATIVOS!$C$1:$Z$1,0))="En proceso")+--(INDEX(NORMATIVOS!$C$43:$Z$43,1,MATCH($B$3,NORMATIVOS!$C$1:$Z$1,0))="En proceso")+--(INDEX(NORMATIVOS!$C$44:$Z$44,1,MATCH($B$3,NORMATIVOS!$C$1:$Z$1,0))="En proceso")+--(INDEX(NORMATIVOS!$C$45:$Z$45,1,MATCH($B$3,NORMATIVOS!$C$1:$Z$1,0))="En proceso")+--(INDEX(NORMATIVOS!$C$46:$Z$46,1,MATCH($B$3,NORMATIVOS!$C$1:$Z$1,0))="En proceso")</f>
        <v>7</v>
      </c>
      <c r="G9">
        <f>--(INDEX(NORMATIVOS!$C$38:$Z$38,1,MATCH($B$3,NORMATIVOS!$C$1:$Z$1,0))="Proyección")+--(INDEX(NORMATIVOS!$C$39:$Z$39,1,MATCH($B$3,NORMATIVOS!$C$1:$Z$1,0))="Proyección")+--(INDEX(NORMATIVOS!$C$40:$Z$40,1,MATCH($B$3,NORMATIVOS!$C$1:$Z$1,0))="Proyección")+--(INDEX(NORMATIVOS!$C$41:$Z$41,1,MATCH($B$3,NORMATIVOS!$C$1:$Z$1,0))="Proyección")+--(INDEX(NORMATIVOS!$C$42:$Z$42,1,MATCH($B$3,NORMATIVOS!$C$1:$Z$1,0))="Proyección")+--(INDEX(NORMATIVOS!$C$43:$Z$43,1,MATCH($B$3,NORMATIVOS!$C$1:$Z$1,0))="Proyección")+--(INDEX(NORMATIVOS!$C$44:$Z$44,1,MATCH($B$3,NORMATIVOS!$C$1:$Z$1,0))="Proyección")+--(INDEX(NORMATIVOS!$C$45:$Z$45,1,MATCH($B$3,NORMATIVOS!$C$1:$Z$1,0))="Proyección")+--(INDEX(NORMATIVOS!$C$46:$Z$46,1,MATCH($B$3,NORMATIVOS!$C$1:$Z$1,0))="Proyección")</f>
        <v>0</v>
      </c>
      <c r="H9" s="15">
        <f t="shared" si="0"/>
        <v>0</v>
      </c>
      <c r="I9" t="str">
        <f>IF(F9&gt;0,CATALOGOS!$H$4,IF(G9&gt;0,CATALOGOS!$H$5,CATALOGOS!$H$3))</f>
        <v>Mesociclo</v>
      </c>
    </row>
    <row r="10" spans="1:9" x14ac:dyDescent="0.2">
      <c r="A10" s="14" t="s">
        <v>269</v>
      </c>
      <c r="B10">
        <f>INDEX(CONSOLIDADO!$F$4:$F$5,MATCH($B$3,CONSOLIDADO!$A$4:$A$5,0))</f>
        <v>2</v>
      </c>
      <c r="D10" t="s">
        <v>52</v>
      </c>
      <c r="E10">
        <f>--(INDEX(NORMATIVOS!$C$49:$Z$49,1,MATCH($B$3,NORMATIVOS!$C$1:$Z$1,0))="Consolidado")+--(INDEX(NORMATIVOS!$C$50:$Z$50,1,MATCH($B$3,NORMATIVOS!$C$1:$Z$1,0))="Consolidado")+--(INDEX(NORMATIVOS!$C$51:$Z$51,1,MATCH($B$3,NORMATIVOS!$C$1:$Z$1,0))="Consolidado")+--(INDEX(NORMATIVOS!$C$52:$Z$52,1,MATCH($B$3,NORMATIVOS!$C$1:$Z$1,0))="Consolidado")+--(INDEX(NORMATIVOS!$C$53:$Z$53,1,MATCH($B$3,NORMATIVOS!$C$1:$Z$1,0))="Consolidado")+--(INDEX(NORMATIVOS!$C$54:$Z$54,1,MATCH($B$3,NORMATIVOS!$C$1:$Z$1,0))="Consolidado")+--(INDEX(NORMATIVOS!$C$55:$Z$55,1,MATCH($B$3,NORMATIVOS!$C$1:$Z$1,0))="Consolidado")+--(INDEX(NORMATIVOS!$C$56:$Z$56,1,MATCH($B$3,NORMATIVOS!$C$1:$Z$1,0))="Consolidado")+--(INDEX(NORMATIVOS!$C$57:$Z$57,1,MATCH($B$3,NORMATIVOS!$C$1:$Z$1,0))="Consolidado")+--(INDEX(NORMATIVOS!$C$58:$Z$58,1,MATCH($B$3,NORMATIVOS!$C$1:$Z$1,0))="Consolidado")+--(INDEX(NORMATIVOS!$C$59:$Z$59,1,MATCH($B$3,NORMATIVOS!$C$1:$Z$1,0))="Consolidado")+--(INDEX(NORMATIVOS!$C$60:$Z$60,1,MATCH($B$3,NORMATIVOS!$C$1:$Z$1,0))="Consolidado")+--(INDEX(NORMATIVOS!$C$61:$Z$61,1,MATCH($B$3,NORMATIVOS!$C$1:$Z$1,0))="Consolidado")+--(INDEX(NORMATIVOS!$C$62:$Z$62,1,MATCH($B$3,NORMATIVOS!$C$1:$Z$1,0))="Consolidado")+--(INDEX(NORMATIVOS!$C$63:$Z$63,1,MATCH($B$3,NORMATIVOS!$C$1:$Z$1,0))="Consolidado")+--(INDEX(NORMATIVOS!$C$64:$Z$64,1,MATCH($B$3,NORMATIVOS!$C$1:$Z$1,0))="Consolidado")</f>
        <v>13</v>
      </c>
      <c r="F10">
        <f>--(INDEX(NORMATIVOS!$C$49:$Z$49,1,MATCH($B$3,NORMATIVOS!$C$1:$Z$1,0))="En proceso")+--(INDEX(NORMATIVOS!$C$50:$Z$50,1,MATCH($B$3,NORMATIVOS!$C$1:$Z$1,0))="En proceso")+--(INDEX(NORMATIVOS!$C$51:$Z$51,1,MATCH($B$3,NORMATIVOS!$C$1:$Z$1,0))="En proceso")+--(INDEX(NORMATIVOS!$C$52:$Z$52,1,MATCH($B$3,NORMATIVOS!$C$1:$Z$1,0))="En proceso")+--(INDEX(NORMATIVOS!$C$53:$Z$53,1,MATCH($B$3,NORMATIVOS!$C$1:$Z$1,0))="En proceso")+--(INDEX(NORMATIVOS!$C$54:$Z$54,1,MATCH($B$3,NORMATIVOS!$C$1:$Z$1,0))="En proceso")+--(INDEX(NORMATIVOS!$C$55:$Z$55,1,MATCH($B$3,NORMATIVOS!$C$1:$Z$1,0))="En proceso")+--(INDEX(NORMATIVOS!$C$56:$Z$56,1,MATCH($B$3,NORMATIVOS!$C$1:$Z$1,0))="En proceso")+--(INDEX(NORMATIVOS!$C$57:$Z$57,1,MATCH($B$3,NORMATIVOS!$C$1:$Z$1,0))="En proceso")+--(INDEX(NORMATIVOS!$C$58:$Z$58,1,MATCH($B$3,NORMATIVOS!$C$1:$Z$1,0))="En proceso")+--(INDEX(NORMATIVOS!$C$59:$Z$59,1,MATCH($B$3,NORMATIVOS!$C$1:$Z$1,0))="En proceso")+--(INDEX(NORMATIVOS!$C$60:$Z$60,1,MATCH($B$3,NORMATIVOS!$C$1:$Z$1,0))="En proceso")+--(INDEX(NORMATIVOS!$C$61:$Z$61,1,MATCH($B$3,NORMATIVOS!$C$1:$Z$1,0))="En proceso")+--(INDEX(NORMATIVOS!$C$62:$Z$62,1,MATCH($B$3,NORMATIVOS!$C$1:$Z$1,0))="En proceso")+--(INDEX(NORMATIVOS!$C$63:$Z$63,1,MATCH($B$3,NORMATIVOS!$C$1:$Z$1,0))="En proceso")+--(INDEX(NORMATIVOS!$C$64:$Z$64,1,MATCH($B$3,NORMATIVOS!$C$1:$Z$1,0))="En proceso")</f>
        <v>1</v>
      </c>
      <c r="G10">
        <f>--(INDEX(NORMATIVOS!$C$49:$Z$49,1,MATCH($B$3,NORMATIVOS!$C$1:$Z$1,0))="Proyección")+--(INDEX(NORMATIVOS!$C$50:$Z$50,1,MATCH($B$3,NORMATIVOS!$C$1:$Z$1,0))="Proyección")+--(INDEX(NORMATIVOS!$C$51:$Z$51,1,MATCH($B$3,NORMATIVOS!$C$1:$Z$1,0))="Proyección")+--(INDEX(NORMATIVOS!$C$52:$Z$52,1,MATCH($B$3,NORMATIVOS!$C$1:$Z$1,0))="Proyección")+--(INDEX(NORMATIVOS!$C$53:$Z$53,1,MATCH($B$3,NORMATIVOS!$C$1:$Z$1,0))="Proyección")+--(INDEX(NORMATIVOS!$C$54:$Z$54,1,MATCH($B$3,NORMATIVOS!$C$1:$Z$1,0))="Proyección")+--(INDEX(NORMATIVOS!$C$55:$Z$55,1,MATCH($B$3,NORMATIVOS!$C$1:$Z$1,0))="Proyección")+--(INDEX(NORMATIVOS!$C$56:$Z$56,1,MATCH($B$3,NORMATIVOS!$C$1:$Z$1,0))="Proyección")+--(INDEX(NORMATIVOS!$C$57:$Z$57,1,MATCH($B$3,NORMATIVOS!$C$1:$Z$1,0))="Proyección")+--(INDEX(NORMATIVOS!$C$58:$Z$58,1,MATCH($B$3,NORMATIVOS!$C$1:$Z$1,0))="Proyección")+--(INDEX(NORMATIVOS!$C$59:$Z$59,1,MATCH($B$3,NORMATIVOS!$C$1:$Z$1,0))="Proyección")+--(INDEX(NORMATIVOS!$C$60:$Z$60,1,MATCH($B$3,NORMATIVOS!$C$1:$Z$1,0))="Proyección")+--(INDEX(NORMATIVOS!$C$61:$Z$61,1,MATCH($B$3,NORMATIVOS!$C$1:$Z$1,0))="Proyección")+--(INDEX(NORMATIVOS!$C$62:$Z$62,1,MATCH($B$3,NORMATIVOS!$C$1:$Z$1,0))="Proyección")+--(INDEX(NORMATIVOS!$C$63:$Z$63,1,MATCH($B$3,NORMATIVOS!$C$1:$Z$1,0))="Proyección")+--(INDEX(NORMATIVOS!$C$64:$Z$64,1,MATCH($B$3,NORMATIVOS!$C$1:$Z$1,0))="Proyección")</f>
        <v>2</v>
      </c>
      <c r="H10" s="15">
        <f t="shared" si="0"/>
        <v>0.8125</v>
      </c>
      <c r="I10" t="str">
        <f>IF(F10&gt;0,CATALOGOS!$H$4,IF(G10&gt;0,CATALOGOS!$H$5,CATALOGOS!$H$3))</f>
        <v>Mesociclo</v>
      </c>
    </row>
    <row r="11" spans="1:9" x14ac:dyDescent="0.2">
      <c r="A11" s="14" t="s">
        <v>283</v>
      </c>
      <c r="B11" s="15">
        <f>INDEX(CONSOLIDADO!$G$4:$G$5,MATCH($B$3,CONSOLIDADO!$A$4:$A$5,0))</f>
        <v>0.43129770992366412</v>
      </c>
      <c r="D11" t="s">
        <v>69</v>
      </c>
      <c r="E11">
        <f>--(INDEX(NORMATIVOS!$C$65:$Z$65,1,MATCH($B$3,NORMATIVOS!$C$1:$Z$1,0))="Consolidado")+--(INDEX(NORMATIVOS!$C$66:$Z$66,1,MATCH($B$3,NORMATIVOS!$C$1:$Z$1,0))="Consolidado")+--(INDEX(NORMATIVOS!$C$67:$Z$67,1,MATCH($B$3,NORMATIVOS!$C$1:$Z$1,0))="Consolidado")+--(INDEX(NORMATIVOS!$C$68:$Z$68,1,MATCH($B$3,NORMATIVOS!$C$1:$Z$1,0))="Consolidado")+--(INDEX(NORMATIVOS!$C$69:$Z$69,1,MATCH($B$3,NORMATIVOS!$C$1:$Z$1,0))="Consolidado")+--(INDEX(NORMATIVOS!$C$70:$Z$70,1,MATCH($B$3,NORMATIVOS!$C$1:$Z$1,0))="Consolidado")+--(INDEX(NORMATIVOS!$C$71:$Z$71,1,MATCH($B$3,NORMATIVOS!$C$1:$Z$1,0))="Consolidado")+--(INDEX(NORMATIVOS!$C$72:$Z$72,1,MATCH($B$3,NORMATIVOS!$C$1:$Z$1,0))="Consolidado")+--(INDEX(NORMATIVOS!$C$73:$Z$73,1,MATCH($B$3,NORMATIVOS!$C$1:$Z$1,0))="Consolidado")+--(INDEX(NORMATIVOS!$C$74:$Z$74,1,MATCH($B$3,NORMATIVOS!$C$1:$Z$1,0))="Consolidado")+--(INDEX(NORMATIVOS!$C$75:$Z$75,1,MATCH($B$3,NORMATIVOS!$C$1:$Z$1,0))="Consolidado")+--(INDEX(NORMATIVOS!$C$76:$Z$76,1,MATCH($B$3,NORMATIVOS!$C$1:$Z$1,0))="Consolidado")+--(INDEX(NORMATIVOS!$C$77:$Z$77,1,MATCH($B$3,NORMATIVOS!$C$1:$Z$1,0))="Consolidado")+--(INDEX(NORMATIVOS!$C$78:$Z$78,1,MATCH($B$3,NORMATIVOS!$C$1:$Z$1,0))="Consolidado")</f>
        <v>7</v>
      </c>
      <c r="F11">
        <f>--(INDEX(NORMATIVOS!$C$65:$Z$65,1,MATCH($B$3,NORMATIVOS!$C$1:$Z$1,0))="En proceso")+--(INDEX(NORMATIVOS!$C$66:$Z$66,1,MATCH($B$3,NORMATIVOS!$C$1:$Z$1,0))="En proceso")+--(INDEX(NORMATIVOS!$C$67:$Z$67,1,MATCH($B$3,NORMATIVOS!$C$1:$Z$1,0))="En proceso")+--(INDEX(NORMATIVOS!$C$68:$Z$68,1,MATCH($B$3,NORMATIVOS!$C$1:$Z$1,0))="En proceso")+--(INDEX(NORMATIVOS!$C$69:$Z$69,1,MATCH($B$3,NORMATIVOS!$C$1:$Z$1,0))="En proceso")+--(INDEX(NORMATIVOS!$C$70:$Z$70,1,MATCH($B$3,NORMATIVOS!$C$1:$Z$1,0))="En proceso")+--(INDEX(NORMATIVOS!$C$71:$Z$71,1,MATCH($B$3,NORMATIVOS!$C$1:$Z$1,0))="En proceso")+--(INDEX(NORMATIVOS!$C$72:$Z$72,1,MATCH($B$3,NORMATIVOS!$C$1:$Z$1,0))="En proceso")+--(INDEX(NORMATIVOS!$C$73:$Z$73,1,MATCH($B$3,NORMATIVOS!$C$1:$Z$1,0))="En proceso")+--(INDEX(NORMATIVOS!$C$74:$Z$74,1,MATCH($B$3,NORMATIVOS!$C$1:$Z$1,0))="En proceso")+--(INDEX(NORMATIVOS!$C$75:$Z$75,1,MATCH($B$3,NORMATIVOS!$C$1:$Z$1,0))="En proceso")+--(INDEX(NORMATIVOS!$C$76:$Z$76,1,MATCH($B$3,NORMATIVOS!$C$1:$Z$1,0))="En proceso")+--(INDEX(NORMATIVOS!$C$77:$Z$77,1,MATCH($B$3,NORMATIVOS!$C$1:$Z$1,0))="En proceso")+--(INDEX(NORMATIVOS!$C$78:$Z$78,1,MATCH($B$3,NORMATIVOS!$C$1:$Z$1,0))="En proceso")</f>
        <v>4</v>
      </c>
      <c r="G11">
        <f>--(INDEX(NORMATIVOS!$C$65:$Z$65,1,MATCH($B$3,NORMATIVOS!$C$1:$Z$1,0))="Proyección")+--(INDEX(NORMATIVOS!$C$66:$Z$66,1,MATCH($B$3,NORMATIVOS!$C$1:$Z$1,0))="Proyección")+--(INDEX(NORMATIVOS!$C$67:$Z$67,1,MATCH($B$3,NORMATIVOS!$C$1:$Z$1,0))="Proyección")+--(INDEX(NORMATIVOS!$C$68:$Z$68,1,MATCH($B$3,NORMATIVOS!$C$1:$Z$1,0))="Proyección")+--(INDEX(NORMATIVOS!$C$69:$Z$69,1,MATCH($B$3,NORMATIVOS!$C$1:$Z$1,0))="Proyección")+--(INDEX(NORMATIVOS!$C$70:$Z$70,1,MATCH($B$3,NORMATIVOS!$C$1:$Z$1,0))="Proyección")+--(INDEX(NORMATIVOS!$C$71:$Z$71,1,MATCH($B$3,NORMATIVOS!$C$1:$Z$1,0))="Proyección")+--(INDEX(NORMATIVOS!$C$72:$Z$72,1,MATCH($B$3,NORMATIVOS!$C$1:$Z$1,0))="Proyección")+--(INDEX(NORMATIVOS!$C$73:$Z$73,1,MATCH($B$3,NORMATIVOS!$C$1:$Z$1,0))="Proyección")+--(INDEX(NORMATIVOS!$C$74:$Z$74,1,MATCH($B$3,NORMATIVOS!$C$1:$Z$1,0))="Proyección")+--(INDEX(NORMATIVOS!$C$75:$Z$75,1,MATCH($B$3,NORMATIVOS!$C$1:$Z$1,0))="Proyección")+--(INDEX(NORMATIVOS!$C$76:$Z$76,1,MATCH($B$3,NORMATIVOS!$C$1:$Z$1,0))="Proyección")+--(INDEX(NORMATIVOS!$C$77:$Z$77,1,MATCH($B$3,NORMATIVOS!$C$1:$Z$1,0))="Proyección")+--(INDEX(NORMATIVOS!$C$78:$Z$78,1,MATCH($B$3,NORMATIVOS!$C$1:$Z$1,0))="Proyección")</f>
        <v>3</v>
      </c>
      <c r="H11" s="15">
        <f t="shared" si="0"/>
        <v>0.5</v>
      </c>
      <c r="I11" t="str">
        <f>IF(F11&gt;0,CATALOGOS!$H$4,IF(G11&gt;0,CATALOGOS!$H$5,CATALOGOS!$H$3))</f>
        <v>Mesociclo</v>
      </c>
    </row>
    <row r="12" spans="1:9" x14ac:dyDescent="0.2">
      <c r="D12" t="s">
        <v>79</v>
      </c>
      <c r="E12">
        <f>--(INDEX(NORMATIVOS!$C$79:$Z$79,1,MATCH($B$3,NORMATIVOS!$C$1:$Z$1,0))="Consolidado")+--(INDEX(NORMATIVOS!$C$80:$Z$80,1,MATCH($B$3,NORMATIVOS!$C$1:$Z$1,0))="Consolidado")+--(INDEX(NORMATIVOS!$C$81:$Z$81,1,MATCH($B$3,NORMATIVOS!$C$1:$Z$1,0))="Consolidado")+--(INDEX(NORMATIVOS!$C$82:$Z$82,1,MATCH($B$3,NORMATIVOS!$C$1:$Z$1,0))="Consolidado")+--(INDEX(NORMATIVOS!$C$83:$Z$83,1,MATCH($B$3,NORMATIVOS!$C$1:$Z$1,0))="Consolidado")+--(INDEX(NORMATIVOS!$C$84:$Z$84,1,MATCH($B$3,NORMATIVOS!$C$1:$Z$1,0))="Consolidado")+--(INDEX(NORMATIVOS!$C$85:$Z$85,1,MATCH($B$3,NORMATIVOS!$C$1:$Z$1,0))="Consolidado")+--(INDEX(NORMATIVOS!$C$86:$Z$86,1,MATCH($B$3,NORMATIVOS!$C$1:$Z$1,0))="Consolidado")+--(INDEX(NORMATIVOS!$C$87:$Z$87,1,MATCH($B$3,NORMATIVOS!$C$1:$Z$1,0))="Consolidado")+--(INDEX(NORMATIVOS!$C$88:$Z$88,1,MATCH($B$3,NORMATIVOS!$C$1:$Z$1,0))="Consolidado")+--(INDEX(NORMATIVOS!$C$89:$Z$89,1,MATCH($B$3,NORMATIVOS!$C$1:$Z$1,0))="Consolidado")+--(INDEX(NORMATIVOS!$C$90:$Z$90,1,MATCH($B$3,NORMATIVOS!$C$1:$Z$1,0))="Consolidado")+--(INDEX(NORMATIVOS!$C$91:$Z$91,1,MATCH($B$3,NORMATIVOS!$C$1:$Z$1,0))="Consolidado")+--(INDEX(NORMATIVOS!$C$92:$Z$92,1,MATCH($B$3,NORMATIVOS!$C$1:$Z$1,0))="Consolidado")+--(INDEX(NORMATIVOS!$C$93:$Z$93,1,MATCH($B$3,NORMATIVOS!$C$1:$Z$1,0))="Consolidado")+--(INDEX(NORMATIVOS!$C$94:$Z$94,1,MATCH($B$3,NORMATIVOS!$C$1:$Z$1,0))="Consolidado")+--(INDEX(NORMATIVOS!$C$95:$Z$95,1,MATCH($B$3,NORMATIVOS!$C$1:$Z$1,0))="Consolidado")+--(INDEX(NORMATIVOS!$C$96:$Z$96,1,MATCH($B$3,NORMATIVOS!$C$1:$Z$1,0))="Consolidado")+--(INDEX(NORMATIVOS!$C$97:$Z$97,1,MATCH($B$3,NORMATIVOS!$C$1:$Z$1,0))="Consolidado")+--(INDEX(NORMATIVOS!$C$98:$Z$98,1,MATCH($B$3,NORMATIVOS!$C$1:$Z$1,0))="Consolidado")+--(INDEX(NORMATIVOS!$C$99:$Z$99,1,MATCH($B$3,NORMATIVOS!$C$1:$Z$1,0))="Consolidado")+--(INDEX(NORMATIVOS!$C$100:$Z$100,1,MATCH($B$3,NORMATIVOS!$C$1:$Z$1,0))="Consolidado")+--(INDEX(NORMATIVOS!$C$101:$Z$101,1,MATCH($B$3,NORMATIVOS!$C$1:$Z$1,0))="Consolidado")+--(INDEX(NORMATIVOS!$C$102:$Z$102,1,MATCH($B$3,NORMATIVOS!$C$1:$Z$1,0))="Consolidado")+--(INDEX(NORMATIVOS!$C$103:$Z$103,1,MATCH($B$3,NORMATIVOS!$C$1:$Z$1,0))="Consolidado")+--(INDEX(NORMATIVOS!$C$104:$Z$104,1,MATCH($B$3,NORMATIVOS!$C$1:$Z$1,0))="Consolidado")</f>
        <v>3</v>
      </c>
      <c r="F12">
        <f>--(INDEX(NORMATIVOS!$C$79:$Z$79,1,MATCH($B$3,NORMATIVOS!$C$1:$Z$1,0))="En proceso")+--(INDEX(NORMATIVOS!$C$80:$Z$80,1,MATCH($B$3,NORMATIVOS!$C$1:$Z$1,0))="En proceso")+--(INDEX(NORMATIVOS!$C$81:$Z$81,1,MATCH($B$3,NORMATIVOS!$C$1:$Z$1,0))="En proceso")+--(INDEX(NORMATIVOS!$C$82:$Z$82,1,MATCH($B$3,NORMATIVOS!$C$1:$Z$1,0))="En proceso")+--(INDEX(NORMATIVOS!$C$83:$Z$83,1,MATCH($B$3,NORMATIVOS!$C$1:$Z$1,0))="En proceso")+--(INDEX(NORMATIVOS!$C$84:$Z$84,1,MATCH($B$3,NORMATIVOS!$C$1:$Z$1,0))="En proceso")+--(INDEX(NORMATIVOS!$C$85:$Z$85,1,MATCH($B$3,NORMATIVOS!$C$1:$Z$1,0))="En proceso")+--(INDEX(NORMATIVOS!$C$86:$Z$86,1,MATCH($B$3,NORMATIVOS!$C$1:$Z$1,0))="En proceso")+--(INDEX(NORMATIVOS!$C$87:$Z$87,1,MATCH($B$3,NORMATIVOS!$C$1:$Z$1,0))="En proceso")+--(INDEX(NORMATIVOS!$C$88:$Z$88,1,MATCH($B$3,NORMATIVOS!$C$1:$Z$1,0))="En proceso")+--(INDEX(NORMATIVOS!$C$89:$Z$89,1,MATCH($B$3,NORMATIVOS!$C$1:$Z$1,0))="En proceso")+--(INDEX(NORMATIVOS!$C$90:$Z$90,1,MATCH($B$3,NORMATIVOS!$C$1:$Z$1,0))="En proceso")+--(INDEX(NORMATIVOS!$C$91:$Z$91,1,MATCH($B$3,NORMATIVOS!$C$1:$Z$1,0))="En proceso")+--(INDEX(NORMATIVOS!$C$92:$Z$92,1,MATCH($B$3,NORMATIVOS!$C$1:$Z$1,0))="En proceso")+--(INDEX(NORMATIVOS!$C$93:$Z$93,1,MATCH($B$3,NORMATIVOS!$C$1:$Z$1,0))="En proceso")+--(INDEX(NORMATIVOS!$C$94:$Z$94,1,MATCH($B$3,NORMATIVOS!$C$1:$Z$1,0))="En proceso")+--(INDEX(NORMATIVOS!$C$95:$Z$95,1,MATCH($B$3,NORMATIVOS!$C$1:$Z$1,0))="En proceso")+--(INDEX(NORMATIVOS!$C$96:$Z$96,1,MATCH($B$3,NORMATIVOS!$C$1:$Z$1,0))="En proceso")+--(INDEX(NORMATIVOS!$C$97:$Z$97,1,MATCH($B$3,NORMATIVOS!$C$1:$Z$1,0))="En proceso")+--(INDEX(NORMATIVOS!$C$98:$Z$98,1,MATCH($B$3,NORMATIVOS!$C$1:$Z$1,0))="En proceso")+--(INDEX(NORMATIVOS!$C$99:$Z$99,1,MATCH($B$3,NORMATIVOS!$C$1:$Z$1,0))="En proceso")+--(INDEX(NORMATIVOS!$C$100:$Z$100,1,MATCH($B$3,NORMATIVOS!$C$1:$Z$1,0))="En proceso")+--(INDEX(NORMATIVOS!$C$101:$Z$101,1,MATCH($B$3,NORMATIVOS!$C$1:$Z$1,0))="En proceso")+--(INDEX(NORMATIVOS!$C$102:$Z$102,1,MATCH($B$3,NORMATIVOS!$C$1:$Z$1,0))="En proceso")+--(INDEX(NORMATIVOS!$C$103:$Z$103,1,MATCH($B$3,NORMATIVOS!$C$1:$Z$1,0))="En proceso")+--(INDEX(NORMATIVOS!$C$104:$Z$104,1,MATCH($B$3,NORMATIVOS!$C$1:$Z$1,0))="En proceso")</f>
        <v>2</v>
      </c>
      <c r="G12">
        <f>--(INDEX(NORMATIVOS!$C$79:$Z$79,1,MATCH($B$3,NORMATIVOS!$C$1:$Z$1,0))="Proyección")+--(INDEX(NORMATIVOS!$C$80:$Z$80,1,MATCH($B$3,NORMATIVOS!$C$1:$Z$1,0))="Proyección")+--(INDEX(NORMATIVOS!$C$81:$Z$81,1,MATCH($B$3,NORMATIVOS!$C$1:$Z$1,0))="Proyección")+--(INDEX(NORMATIVOS!$C$82:$Z$82,1,MATCH($B$3,NORMATIVOS!$C$1:$Z$1,0))="Proyección")+--(INDEX(NORMATIVOS!$C$83:$Z$83,1,MATCH($B$3,NORMATIVOS!$C$1:$Z$1,0))="Proyección")+--(INDEX(NORMATIVOS!$C$84:$Z$84,1,MATCH($B$3,NORMATIVOS!$C$1:$Z$1,0))="Proyección")+--(INDEX(NORMATIVOS!$C$85:$Z$85,1,MATCH($B$3,NORMATIVOS!$C$1:$Z$1,0))="Proyección")+--(INDEX(NORMATIVOS!$C$86:$Z$86,1,MATCH($B$3,NORMATIVOS!$C$1:$Z$1,0))="Proyección")+--(INDEX(NORMATIVOS!$C$87:$Z$87,1,MATCH($B$3,NORMATIVOS!$C$1:$Z$1,0))="Proyección")+--(INDEX(NORMATIVOS!$C$88:$Z$88,1,MATCH($B$3,NORMATIVOS!$C$1:$Z$1,0))="Proyección")+--(INDEX(NORMATIVOS!$C$89:$Z$89,1,MATCH($B$3,NORMATIVOS!$C$1:$Z$1,0))="Proyección")+--(INDEX(NORMATIVOS!$C$90:$Z$90,1,MATCH($B$3,NORMATIVOS!$C$1:$Z$1,0))="Proyección")+--(INDEX(NORMATIVOS!$C$91:$Z$91,1,MATCH($B$3,NORMATIVOS!$C$1:$Z$1,0))="Proyección")+--(INDEX(NORMATIVOS!$C$92:$Z$92,1,MATCH($B$3,NORMATIVOS!$C$1:$Z$1,0))="Proyección")+--(INDEX(NORMATIVOS!$C$93:$Z$93,1,MATCH($B$3,NORMATIVOS!$C$1:$Z$1,0))="Proyección")+--(INDEX(NORMATIVOS!$C$94:$Z$94,1,MATCH($B$3,NORMATIVOS!$C$1:$Z$1,0))="Proyección")+--(INDEX(NORMATIVOS!$C$95:$Z$95,1,MATCH($B$3,NORMATIVOS!$C$1:$Z$1,0))="Proyección")+--(INDEX(NORMATIVOS!$C$96:$Z$96,1,MATCH($B$3,NORMATIVOS!$C$1:$Z$1,0))="Proyección")+--(INDEX(NORMATIVOS!$C$97:$Z$97,1,MATCH($B$3,NORMATIVOS!$C$1:$Z$1,0))="Proyección")+--(INDEX(NORMATIVOS!$C$98:$Z$98,1,MATCH($B$3,NORMATIVOS!$C$1:$Z$1,0))="Proyección")+--(INDEX(NORMATIVOS!$C$99:$Z$99,1,MATCH($B$3,NORMATIVOS!$C$1:$Z$1,0))="Proyección")+--(INDEX(NORMATIVOS!$C$100:$Z$100,1,MATCH($B$3,NORMATIVOS!$C$1:$Z$1,0))="Proyección")+--(INDEX(NORMATIVOS!$C$101:$Z$101,1,MATCH($B$3,NORMATIVOS!$C$1:$Z$1,0))="Proyección")+--(INDEX(NORMATIVOS!$C$102:$Z$102,1,MATCH($B$3,NORMATIVOS!$C$1:$Z$1,0))="Proyección")+--(INDEX(NORMATIVOS!$C$103:$Z$103,1,MATCH($B$3,NORMATIVOS!$C$1:$Z$1,0))="Proyección")+--(INDEX(NORMATIVOS!$C$104:$Z$104,1,MATCH($B$3,NORMATIVOS!$C$1:$Z$1,0))="Proyección")</f>
        <v>21</v>
      </c>
      <c r="H12" s="15">
        <f t="shared" si="0"/>
        <v>0.11538461538461539</v>
      </c>
      <c r="I12" t="str">
        <f>IF(F12&gt;0,CATALOGOS!$H$4,IF(G12&gt;0,CATALOGOS!$H$5,CATALOGOS!$H$3))</f>
        <v>Mesociclo</v>
      </c>
    </row>
    <row r="13" spans="1:9" x14ac:dyDescent="0.2">
      <c r="A13" s="11" t="s">
        <v>341</v>
      </c>
      <c r="B13" s="11" t="s">
        <v>342</v>
      </c>
      <c r="D13" t="s">
        <v>105</v>
      </c>
      <c r="E13">
        <f>--(INDEX(NORMATIVOS!$C$107:$Z$107,1,MATCH($B$3,NORMATIVOS!$C$1:$Z$1,0))="Consolidado")+--(INDEX(NORMATIVOS!$C$108:$Z$108,1,MATCH($B$3,NORMATIVOS!$C$1:$Z$1,0))="Consolidado")+--(INDEX(NORMATIVOS!$C$109:$Z$109,1,MATCH($B$3,NORMATIVOS!$C$1:$Z$1,0))="Consolidado")+--(INDEX(NORMATIVOS!$C$110:$Z$110,1,MATCH($B$3,NORMATIVOS!$C$1:$Z$1,0))="Consolidado")+--(INDEX(NORMATIVOS!$C$111:$Z$111,1,MATCH($B$3,NORMATIVOS!$C$1:$Z$1,0))="Consolidado")+--(INDEX(NORMATIVOS!$C$112:$Z$112,1,MATCH($B$3,NORMATIVOS!$C$1:$Z$1,0))="Consolidado")+--(INDEX(NORMATIVOS!$C$113:$Z$113,1,MATCH($B$3,NORMATIVOS!$C$1:$Z$1,0))="Consolidado")+--(INDEX(NORMATIVOS!$C$114:$Z$114,1,MATCH($B$3,NORMATIVOS!$C$1:$Z$1,0))="Consolidado")+--(INDEX(NORMATIVOS!$C$115:$Z$115,1,MATCH($B$3,NORMATIVOS!$C$1:$Z$1,0))="Consolidado")+--(INDEX(NORMATIVOS!$C$116:$Z$116,1,MATCH($B$3,NORMATIVOS!$C$1:$Z$1,0))="Consolidado")+--(INDEX(NORMATIVOS!$C$117:$Z$117,1,MATCH($B$3,NORMATIVOS!$C$1:$Z$1,0))="Consolidado")+--(INDEX(NORMATIVOS!$C$118:$Z$118,1,MATCH($B$3,NORMATIVOS!$C$1:$Z$1,0))="Consolidado")+--(INDEX(NORMATIVOS!$C$119:$Z$119,1,MATCH($B$3,NORMATIVOS!$C$1:$Z$1,0))="Consolidado")+--(INDEX(NORMATIVOS!$C$120:$Z$120,1,MATCH($B$3,NORMATIVOS!$C$1:$Z$1,0))="Consolidado")+--(INDEX(NORMATIVOS!$C$121:$Z$121,1,MATCH($B$3,NORMATIVOS!$C$1:$Z$1,0))="Consolidado")</f>
        <v>9</v>
      </c>
      <c r="F13">
        <f>--(INDEX(NORMATIVOS!$C$107:$Z$107,1,MATCH($B$3,NORMATIVOS!$C$1:$Z$1,0))="En proceso")+--(INDEX(NORMATIVOS!$C$108:$Z$108,1,MATCH($B$3,NORMATIVOS!$C$1:$Z$1,0))="En proceso")+--(INDEX(NORMATIVOS!$C$109:$Z$109,1,MATCH($B$3,NORMATIVOS!$C$1:$Z$1,0))="En proceso")+--(INDEX(NORMATIVOS!$C$110:$Z$110,1,MATCH($B$3,NORMATIVOS!$C$1:$Z$1,0))="En proceso")+--(INDEX(NORMATIVOS!$C$111:$Z$111,1,MATCH($B$3,NORMATIVOS!$C$1:$Z$1,0))="En proceso")+--(INDEX(NORMATIVOS!$C$112:$Z$112,1,MATCH($B$3,NORMATIVOS!$C$1:$Z$1,0))="En proceso")+--(INDEX(NORMATIVOS!$C$113:$Z$113,1,MATCH($B$3,NORMATIVOS!$C$1:$Z$1,0))="En proceso")+--(INDEX(NORMATIVOS!$C$114:$Z$114,1,MATCH($B$3,NORMATIVOS!$C$1:$Z$1,0))="En proceso")+--(INDEX(NORMATIVOS!$C$115:$Z$115,1,MATCH($B$3,NORMATIVOS!$C$1:$Z$1,0))="En proceso")+--(INDEX(NORMATIVOS!$C$116:$Z$116,1,MATCH($B$3,NORMATIVOS!$C$1:$Z$1,0))="En proceso")+--(INDEX(NORMATIVOS!$C$117:$Z$117,1,MATCH($B$3,NORMATIVOS!$C$1:$Z$1,0))="En proceso")+--(INDEX(NORMATIVOS!$C$118:$Z$118,1,MATCH($B$3,NORMATIVOS!$C$1:$Z$1,0))="En proceso")+--(INDEX(NORMATIVOS!$C$119:$Z$119,1,MATCH($B$3,NORMATIVOS!$C$1:$Z$1,0))="En proceso")+--(INDEX(NORMATIVOS!$C$120:$Z$120,1,MATCH($B$3,NORMATIVOS!$C$1:$Z$1,0))="En proceso")+--(INDEX(NORMATIVOS!$C$121:$Z$121,1,MATCH($B$3,NORMATIVOS!$C$1:$Z$1,0))="En proceso")</f>
        <v>3</v>
      </c>
      <c r="G13">
        <f>--(INDEX(NORMATIVOS!$C$107:$Z$107,1,MATCH($B$3,NORMATIVOS!$C$1:$Z$1,0))="Proyección")+--(INDEX(NORMATIVOS!$C$108:$Z$108,1,MATCH($B$3,NORMATIVOS!$C$1:$Z$1,0))="Proyección")+--(INDEX(NORMATIVOS!$C$109:$Z$109,1,MATCH($B$3,NORMATIVOS!$C$1:$Z$1,0))="Proyección")+--(INDEX(NORMATIVOS!$C$110:$Z$110,1,MATCH($B$3,NORMATIVOS!$C$1:$Z$1,0))="Proyección")+--(INDEX(NORMATIVOS!$C$111:$Z$111,1,MATCH($B$3,NORMATIVOS!$C$1:$Z$1,0))="Proyección")+--(INDEX(NORMATIVOS!$C$112:$Z$112,1,MATCH($B$3,NORMATIVOS!$C$1:$Z$1,0))="Proyección")+--(INDEX(NORMATIVOS!$C$113:$Z$113,1,MATCH($B$3,NORMATIVOS!$C$1:$Z$1,0))="Proyección")+--(INDEX(NORMATIVOS!$C$114:$Z$114,1,MATCH($B$3,NORMATIVOS!$C$1:$Z$1,0))="Proyección")+--(INDEX(NORMATIVOS!$C$115:$Z$115,1,MATCH($B$3,NORMATIVOS!$C$1:$Z$1,0))="Proyección")+--(INDEX(NORMATIVOS!$C$116:$Z$116,1,MATCH($B$3,NORMATIVOS!$C$1:$Z$1,0))="Proyección")+--(INDEX(NORMATIVOS!$C$117:$Z$117,1,MATCH($B$3,NORMATIVOS!$C$1:$Z$1,0))="Proyección")+--(INDEX(NORMATIVOS!$C$118:$Z$118,1,MATCH($B$3,NORMATIVOS!$C$1:$Z$1,0))="Proyección")+--(INDEX(NORMATIVOS!$C$119:$Z$119,1,MATCH($B$3,NORMATIVOS!$C$1:$Z$1,0))="Proyección")+--(INDEX(NORMATIVOS!$C$120:$Z$120,1,MATCH($B$3,NORMATIVOS!$C$1:$Z$1,0))="Proyección")+--(INDEX(NORMATIVOS!$C$121:$Z$121,1,MATCH($B$3,NORMATIVOS!$C$1:$Z$1,0))="Proyección")</f>
        <v>3</v>
      </c>
      <c r="H13" s="15">
        <f t="shared" si="0"/>
        <v>0.6</v>
      </c>
      <c r="I13" t="str">
        <f>IF(F13&gt;0,CATALOGOS!$H$4,IF(G13&gt;0,CATALOGOS!$H$5,CATALOGOS!$H$3))</f>
        <v>Mesociclo</v>
      </c>
    </row>
    <row r="14" spans="1:9" x14ac:dyDescent="0.2">
      <c r="A14" s="14" t="str">
        <f>CATALOGOS!H3&amp;" – "&amp;CATALOGOS!I3</f>
        <v>Microciclo – Mantener / perfeccionar</v>
      </c>
      <c r="B14">
        <f>COUNTIF($C$27:$C$290,CATALOGOS!G3)</f>
        <v>113</v>
      </c>
      <c r="D14" t="s">
        <v>120</v>
      </c>
      <c r="E14">
        <f>--(INDEX(NORMATIVOS!$C$122:$Z$122,1,MATCH($B$3,NORMATIVOS!$C$1:$Z$1,0))="Consolidado")+--(INDEX(NORMATIVOS!$C$123:$Z$123,1,MATCH($B$3,NORMATIVOS!$C$1:$Z$1,0))="Consolidado")+--(INDEX(NORMATIVOS!$C$124:$Z$124,1,MATCH($B$3,NORMATIVOS!$C$1:$Z$1,0))="Consolidado")+--(INDEX(NORMATIVOS!$C$125:$Z$125,1,MATCH($B$3,NORMATIVOS!$C$1:$Z$1,0))="Consolidado")+--(INDEX(NORMATIVOS!$C$126:$Z$126,1,MATCH($B$3,NORMATIVOS!$C$1:$Z$1,0))="Consolidado")+--(INDEX(NORMATIVOS!$C$127:$Z$127,1,MATCH($B$3,NORMATIVOS!$C$1:$Z$1,0))="Consolidado")+--(INDEX(NORMATIVOS!$C$128:$Z$128,1,MATCH($B$3,NORMATIVOS!$C$1:$Z$1,0))="Consolidado")+--(INDEX(NORMATIVOS!$C$129:$Z$129,1,MATCH($B$3,NORMATIVOS!$C$1:$Z$1,0))="Consolidado")+--(INDEX(NORMATIVOS!$C$130:$Z$130,1,MATCH($B$3,NORMATIVOS!$C$1:$Z$1,0))="Consolidado")+--(INDEX(NORMATIVOS!$C$131:$Z$131,1,MATCH($B$3,NORMATIVOS!$C$1:$Z$1,0))="Consolidado")+--(INDEX(NORMATIVOS!$C$132:$Z$132,1,MATCH($B$3,NORMATIVOS!$C$1:$Z$1,0))="Consolidado")+--(INDEX(NORMATIVOS!$C$133:$Z$133,1,MATCH($B$3,NORMATIVOS!$C$1:$Z$1,0))="Consolidado")+--(INDEX(NORMATIVOS!$C$134:$Z$134,1,MATCH($B$3,NORMATIVOS!$C$1:$Z$1,0))="Consolidado")+--(INDEX(NORMATIVOS!$C$135:$Z$135,1,MATCH($B$3,NORMATIVOS!$C$1:$Z$1,0))="Consolidado")+--(INDEX(NORMATIVOS!$C$136:$Z$136,1,MATCH($B$3,NORMATIVOS!$C$1:$Z$1,0))="Consolidado")+--(INDEX(NORMATIVOS!$C$137:$Z$137,1,MATCH($B$3,NORMATIVOS!$C$1:$Z$1,0))="Consolidado")+--(INDEX(NORMATIVOS!$C$138:$Z$138,1,MATCH($B$3,NORMATIVOS!$C$1:$Z$1,0))="Consolidado")+--(INDEX(NORMATIVOS!$C$139:$Z$139,1,MATCH($B$3,NORMATIVOS!$C$1:$Z$1,0))="Consolidado")+--(INDEX(NORMATIVOS!$C$140:$Z$140,1,MATCH($B$3,NORMATIVOS!$C$1:$Z$1,0))="Consolidado")+--(INDEX(NORMATIVOS!$C$141:$Z$141,1,MATCH($B$3,NORMATIVOS!$C$1:$Z$1,0))="Consolidado")</f>
        <v>5</v>
      </c>
      <c r="F14">
        <f>--(INDEX(NORMATIVOS!$C$122:$Z$122,1,MATCH($B$3,NORMATIVOS!$C$1:$Z$1,0))="En proceso")+--(INDEX(NORMATIVOS!$C$123:$Z$123,1,MATCH($B$3,NORMATIVOS!$C$1:$Z$1,0))="En proceso")+--(INDEX(NORMATIVOS!$C$124:$Z$124,1,MATCH($B$3,NORMATIVOS!$C$1:$Z$1,0))="En proceso")+--(INDEX(NORMATIVOS!$C$125:$Z$125,1,MATCH($B$3,NORMATIVOS!$C$1:$Z$1,0))="En proceso")+--(INDEX(NORMATIVOS!$C$126:$Z$126,1,MATCH($B$3,NORMATIVOS!$C$1:$Z$1,0))="En proceso")+--(INDEX(NORMATIVOS!$C$127:$Z$127,1,MATCH($B$3,NORMATIVOS!$C$1:$Z$1,0))="En proceso")+--(INDEX(NORMATIVOS!$C$128:$Z$128,1,MATCH($B$3,NORMATIVOS!$C$1:$Z$1,0))="En proceso")+--(INDEX(NORMATIVOS!$C$129:$Z$129,1,MATCH($B$3,NORMATIVOS!$C$1:$Z$1,0))="En proceso")+--(INDEX(NORMATIVOS!$C$130:$Z$130,1,MATCH($B$3,NORMATIVOS!$C$1:$Z$1,0))="En proceso")+--(INDEX(NORMATIVOS!$C$131:$Z$131,1,MATCH($B$3,NORMATIVOS!$C$1:$Z$1,0))="En proceso")+--(INDEX(NORMATIVOS!$C$132:$Z$132,1,MATCH($B$3,NORMATIVOS!$C$1:$Z$1,0))="En proceso")+--(INDEX(NORMATIVOS!$C$133:$Z$133,1,MATCH($B$3,NORMATIVOS!$C$1:$Z$1,0))="En proceso")+--(INDEX(NORMATIVOS!$C$134:$Z$134,1,MATCH($B$3,NORMATIVOS!$C$1:$Z$1,0))="En proceso")+--(INDEX(NORMATIVOS!$C$135:$Z$135,1,MATCH($B$3,NORMATIVOS!$C$1:$Z$1,0))="En proceso")+--(INDEX(NORMATIVOS!$C$136:$Z$136,1,MATCH($B$3,NORMATIVOS!$C$1:$Z$1,0))="En proceso")+--(INDEX(NORMATIVOS!$C$137:$Z$137,1,MATCH($B$3,NORMATIVOS!$C$1:$Z$1,0))="En proceso")+--(INDEX(NORMATIVOS!$C$138:$Z$138,1,MATCH($B$3,NORMATIVOS!$C$1:$Z$1,0))="En proceso")+--(INDEX(NORMATIVOS!$C$139:$Z$139,1,MATCH($B$3,NORMATIVOS!$C$1:$Z$1,0))="En proceso")+--(INDEX(NORMATIVOS!$C$140:$Z$140,1,MATCH($B$3,NORMATIVOS!$C$1:$Z$1,0))="En proceso")+--(INDEX(NORMATIVOS!$C$141:$Z$141,1,MATCH($B$3,NORMATIVOS!$C$1:$Z$1,0))="En proceso")</f>
        <v>8</v>
      </c>
      <c r="G14">
        <f>--(INDEX(NORMATIVOS!$C$122:$Z$122,1,MATCH($B$3,NORMATIVOS!$C$1:$Z$1,0))="Proyección")+--(INDEX(NORMATIVOS!$C$123:$Z$123,1,MATCH($B$3,NORMATIVOS!$C$1:$Z$1,0))="Proyección")+--(INDEX(NORMATIVOS!$C$124:$Z$124,1,MATCH($B$3,NORMATIVOS!$C$1:$Z$1,0))="Proyección")+--(INDEX(NORMATIVOS!$C$125:$Z$125,1,MATCH($B$3,NORMATIVOS!$C$1:$Z$1,0))="Proyección")+--(INDEX(NORMATIVOS!$C$126:$Z$126,1,MATCH($B$3,NORMATIVOS!$C$1:$Z$1,0))="Proyección")+--(INDEX(NORMATIVOS!$C$127:$Z$127,1,MATCH($B$3,NORMATIVOS!$C$1:$Z$1,0))="Proyección")+--(INDEX(NORMATIVOS!$C$128:$Z$128,1,MATCH($B$3,NORMATIVOS!$C$1:$Z$1,0))="Proyección")+--(INDEX(NORMATIVOS!$C$129:$Z$129,1,MATCH($B$3,NORMATIVOS!$C$1:$Z$1,0))="Proyección")+--(INDEX(NORMATIVOS!$C$130:$Z$130,1,MATCH($B$3,NORMATIVOS!$C$1:$Z$1,0))="Proyección")+--(INDEX(NORMATIVOS!$C$131:$Z$131,1,MATCH($B$3,NORMATIVOS!$C$1:$Z$1,0))="Proyección")+--(INDEX(NORMATIVOS!$C$132:$Z$132,1,MATCH($B$3,NORMATIVOS!$C$1:$Z$1,0))="Proyección")+--(INDEX(NORMATIVOS!$C$133:$Z$133,1,MATCH($B$3,NORMATIVOS!$C$1:$Z$1,0))="Proyección")+--(INDEX(NORMATIVOS!$C$134:$Z$134,1,MATCH($B$3,NORMATIVOS!$C$1:$Z$1,0))="Proyección")+--(INDEX(NORMATIVOS!$C$135:$Z$135,1,MATCH($B$3,NORMATIVOS!$C$1:$Z$1,0))="Proyección")+--(INDEX(NORMATIVOS!$C$136:$Z$136,1,MATCH($B$3,NORMATIVOS!$C$1:$Z$1,0))="Proyección")+--(INDEX(NORMATIVOS!$C$137:$Z$137,1,MATCH($B$3,NORMATIVOS!$C$1:$Z$1,0))="Proyección")+--(INDEX(NORMATIVOS!$C$138:$Z$138,1,MATCH($B$3,NORMATIVOS!$C$1:$Z$1,0))="Proyección")+--(INDEX(NORMATIVOS!$C$139:$Z$139,1,MATCH($B$3,NORMATIVOS!$C$1:$Z$1,0))="Proyección")+--(INDEX(NORMATIVOS!$C$140:$Z$140,1,MATCH($B$3,NORMATIVOS!$C$1:$Z$1,0))="Proyección")+--(INDEX(NORMATIVOS!$C$141:$Z$141,1,MATCH($B$3,NORMATIVOS!$C$1:$Z$1,0))="Proyección")</f>
        <v>7</v>
      </c>
      <c r="H14" s="15">
        <f t="shared" si="0"/>
        <v>0.25</v>
      </c>
      <c r="I14" t="str">
        <f>IF(F14&gt;0,CATALOGOS!$H$4,IF(G14&gt;0,CATALOGOS!$H$5,CATALOGOS!$H$3))</f>
        <v>Mesociclo</v>
      </c>
    </row>
    <row r="15" spans="1:9" x14ac:dyDescent="0.2">
      <c r="A15" s="14" t="str">
        <f>CATALOGOS!H4&amp;" – "&amp;CATALOGOS!I4</f>
        <v>Mesociclo – Desarrollar / consolidar</v>
      </c>
      <c r="B15">
        <f>COUNTIF($C$27:$C$290,CATALOGOS!G4)</f>
        <v>49</v>
      </c>
      <c r="D15" t="s">
        <v>142</v>
      </c>
      <c r="E15">
        <f>--(INDEX(NORMATIVOS!$C$144:$Z$144,1,MATCH($B$3,NORMATIVOS!$C$1:$Z$1,0))="Consolidado")+--(INDEX(NORMATIVOS!$C$145:$Z$145,1,MATCH($B$3,NORMATIVOS!$C$1:$Z$1,0))="Consolidado")+--(INDEX(NORMATIVOS!$C$146:$Z$146,1,MATCH($B$3,NORMATIVOS!$C$1:$Z$1,0))="Consolidado")+--(INDEX(NORMATIVOS!$C$147:$Z$147,1,MATCH($B$3,NORMATIVOS!$C$1:$Z$1,0))="Consolidado")+--(INDEX(NORMATIVOS!$C$148:$Z$148,1,MATCH($B$3,NORMATIVOS!$C$1:$Z$1,0))="Consolidado")+--(INDEX(NORMATIVOS!$C$149:$Z$149,1,MATCH($B$3,NORMATIVOS!$C$1:$Z$1,0))="Consolidado")+--(INDEX(NORMATIVOS!$C$150:$Z$150,1,MATCH($B$3,NORMATIVOS!$C$1:$Z$1,0))="Consolidado")</f>
        <v>7</v>
      </c>
      <c r="F15">
        <f>--(INDEX(NORMATIVOS!$C$144:$Z$144,1,MATCH($B$3,NORMATIVOS!$C$1:$Z$1,0))="En proceso")+--(INDEX(NORMATIVOS!$C$145:$Z$145,1,MATCH($B$3,NORMATIVOS!$C$1:$Z$1,0))="En proceso")+--(INDEX(NORMATIVOS!$C$146:$Z$146,1,MATCH($B$3,NORMATIVOS!$C$1:$Z$1,0))="En proceso")+--(INDEX(NORMATIVOS!$C$147:$Z$147,1,MATCH($B$3,NORMATIVOS!$C$1:$Z$1,0))="En proceso")+--(INDEX(NORMATIVOS!$C$148:$Z$148,1,MATCH($B$3,NORMATIVOS!$C$1:$Z$1,0))="En proceso")+--(INDEX(NORMATIVOS!$C$149:$Z$149,1,MATCH($B$3,NORMATIVOS!$C$1:$Z$1,0))="En proceso")+--(INDEX(NORMATIVOS!$C$150:$Z$150,1,MATCH($B$3,NORMATIVOS!$C$1:$Z$1,0))="En proceso")</f>
        <v>0</v>
      </c>
      <c r="G15">
        <f>--(INDEX(NORMATIVOS!$C$144:$Z$144,1,MATCH($B$3,NORMATIVOS!$C$1:$Z$1,0))="Proyección")+--(INDEX(NORMATIVOS!$C$145:$Z$145,1,MATCH($B$3,NORMATIVOS!$C$1:$Z$1,0))="Proyección")+--(INDEX(NORMATIVOS!$C$146:$Z$146,1,MATCH($B$3,NORMATIVOS!$C$1:$Z$1,0))="Proyección")+--(INDEX(NORMATIVOS!$C$147:$Z$147,1,MATCH($B$3,NORMATIVOS!$C$1:$Z$1,0))="Proyección")+--(INDEX(NORMATIVOS!$C$148:$Z$148,1,MATCH($B$3,NORMATIVOS!$C$1:$Z$1,0))="Proyección")+--(INDEX(NORMATIVOS!$C$149:$Z$149,1,MATCH($B$3,NORMATIVOS!$C$1:$Z$1,0))="Proyección")+--(INDEX(NORMATIVOS!$C$150:$Z$150,1,MATCH($B$3,NORMATIVOS!$C$1:$Z$1,0))="Proyección")</f>
        <v>0</v>
      </c>
      <c r="H15" s="15">
        <f t="shared" si="0"/>
        <v>1</v>
      </c>
      <c r="I15" t="str">
        <f>IF(F15&gt;0,CATALOGOS!$H$4,IF(G15&gt;0,CATALOGOS!$H$5,CATALOGOS!$H$3))</f>
        <v>Microciclo</v>
      </c>
    </row>
    <row r="16" spans="1:9" x14ac:dyDescent="0.2">
      <c r="A16" s="14" t="str">
        <f>CATALOGOS!H5&amp;" – "&amp;CATALOGOS!I5</f>
        <v>Macrociclo – Iniciar / aprender</v>
      </c>
      <c r="B16">
        <f>COUNTIF($C$27:$C$290,CATALOGOS!G5)</f>
        <v>100</v>
      </c>
      <c r="D16" t="s">
        <v>150</v>
      </c>
      <c r="E16">
        <f>--(INDEX(NORMATIVOS!$C$151:$Z$151,1,MATCH($B$3,NORMATIVOS!$C$1:$Z$1,0))="Consolidado")+--(INDEX(NORMATIVOS!$C$152:$Z$152,1,MATCH($B$3,NORMATIVOS!$C$1:$Z$1,0))="Consolidado")+--(INDEX(NORMATIVOS!$C$153:$Z$153,1,MATCH($B$3,NORMATIVOS!$C$1:$Z$1,0))="Consolidado")+--(INDEX(NORMATIVOS!$C$154:$Z$154,1,MATCH($B$3,NORMATIVOS!$C$1:$Z$1,0))="Consolidado")+--(INDEX(NORMATIVOS!$C$155:$Z$155,1,MATCH($B$3,NORMATIVOS!$C$1:$Z$1,0))="Consolidado")+--(INDEX(NORMATIVOS!$C$156:$Z$156,1,MATCH($B$3,NORMATIVOS!$C$1:$Z$1,0))="Consolidado")+--(INDEX(NORMATIVOS!$C$157:$Z$157,1,MATCH($B$3,NORMATIVOS!$C$1:$Z$1,0))="Consolidado")+--(INDEX(NORMATIVOS!$C$158:$Z$158,1,MATCH($B$3,NORMATIVOS!$C$1:$Z$1,0))="Consolidado")+--(INDEX(NORMATIVOS!$C$159:$Z$159,1,MATCH($B$3,NORMATIVOS!$C$1:$Z$1,0))="Consolidado")+--(INDEX(NORMATIVOS!$C$160:$Z$160,1,MATCH($B$3,NORMATIVOS!$C$1:$Z$1,0))="Consolidado")+--(INDEX(NORMATIVOS!$C$161:$Z$161,1,MATCH($B$3,NORMATIVOS!$C$1:$Z$1,0))="Consolidado")+--(INDEX(NORMATIVOS!$C$162:$Z$162,1,MATCH($B$3,NORMATIVOS!$C$1:$Z$1,0))="Consolidado")+--(INDEX(NORMATIVOS!$C$163:$Z$163,1,MATCH($B$3,NORMATIVOS!$C$1:$Z$1,0))="Consolidado")+--(INDEX(NORMATIVOS!$C$164:$Z$164,1,MATCH($B$3,NORMATIVOS!$C$1:$Z$1,0))="Consolidado")+--(INDEX(NORMATIVOS!$C$165:$Z$165,1,MATCH($B$3,NORMATIVOS!$C$1:$Z$1,0))="Consolidado")+--(INDEX(NORMATIVOS!$C$166:$Z$166,1,MATCH($B$3,NORMATIVOS!$C$1:$Z$1,0))="Consolidado")+--(INDEX(NORMATIVOS!$C$167:$Z$167,1,MATCH($B$3,NORMATIVOS!$C$1:$Z$1,0))="Consolidado")+--(INDEX(NORMATIVOS!$C$168:$Z$168,1,MATCH($B$3,NORMATIVOS!$C$1:$Z$1,0))="Consolidado")+--(INDEX(NORMATIVOS!$C$169:$Z$169,1,MATCH($B$3,NORMATIVOS!$C$1:$Z$1,0))="Consolidado")+--(INDEX(NORMATIVOS!$C$170:$Z$170,1,MATCH($B$3,NORMATIVOS!$C$1:$Z$1,0))="Consolidado")+--(INDEX(NORMATIVOS!$C$171:$Z$171,1,MATCH($B$3,NORMATIVOS!$C$1:$Z$1,0))="Consolidado")+--(INDEX(NORMATIVOS!$C$172:$Z$172,1,MATCH($B$3,NORMATIVOS!$C$1:$Z$1,0))="Consolidado")</f>
        <v>4</v>
      </c>
      <c r="F16">
        <f>--(INDEX(NORMATIVOS!$C$151:$Z$151,1,MATCH($B$3,NORMATIVOS!$C$1:$Z$1,0))="En proceso")+--(INDEX(NORMATIVOS!$C$152:$Z$152,1,MATCH($B$3,NORMATIVOS!$C$1:$Z$1,0))="En proceso")+--(INDEX(NORMATIVOS!$C$153:$Z$153,1,MATCH($B$3,NORMATIVOS!$C$1:$Z$1,0))="En proceso")+--(INDEX(NORMATIVOS!$C$154:$Z$154,1,MATCH($B$3,NORMATIVOS!$C$1:$Z$1,0))="En proceso")+--(INDEX(NORMATIVOS!$C$155:$Z$155,1,MATCH($B$3,NORMATIVOS!$C$1:$Z$1,0))="En proceso")+--(INDEX(NORMATIVOS!$C$156:$Z$156,1,MATCH($B$3,NORMATIVOS!$C$1:$Z$1,0))="En proceso")+--(INDEX(NORMATIVOS!$C$157:$Z$157,1,MATCH($B$3,NORMATIVOS!$C$1:$Z$1,0))="En proceso")+--(INDEX(NORMATIVOS!$C$158:$Z$158,1,MATCH($B$3,NORMATIVOS!$C$1:$Z$1,0))="En proceso")+--(INDEX(NORMATIVOS!$C$159:$Z$159,1,MATCH($B$3,NORMATIVOS!$C$1:$Z$1,0))="En proceso")+--(INDEX(NORMATIVOS!$C$160:$Z$160,1,MATCH($B$3,NORMATIVOS!$C$1:$Z$1,0))="En proceso")+--(INDEX(NORMATIVOS!$C$161:$Z$161,1,MATCH($B$3,NORMATIVOS!$C$1:$Z$1,0))="En proceso")+--(INDEX(NORMATIVOS!$C$162:$Z$162,1,MATCH($B$3,NORMATIVOS!$C$1:$Z$1,0))="En proceso")+--(INDEX(NORMATIVOS!$C$163:$Z$163,1,MATCH($B$3,NORMATIVOS!$C$1:$Z$1,0))="En proceso")+--(INDEX(NORMATIVOS!$C$164:$Z$164,1,MATCH($B$3,NORMATIVOS!$C$1:$Z$1,0))="En proceso")+--(INDEX(NORMATIVOS!$C$165:$Z$165,1,MATCH($B$3,NORMATIVOS!$C$1:$Z$1,0))="En proceso")+--(INDEX(NORMATIVOS!$C$166:$Z$166,1,MATCH($B$3,NORMATIVOS!$C$1:$Z$1,0))="En proceso")+--(INDEX(NORMATIVOS!$C$167:$Z$167,1,MATCH($B$3,NORMATIVOS!$C$1:$Z$1,0))="En proceso")+--(INDEX(NORMATIVOS!$C$168:$Z$168,1,MATCH($B$3,NORMATIVOS!$C$1:$Z$1,0))="En proceso")+--(INDEX(NORMATIVOS!$C$169:$Z$169,1,MATCH($B$3,NORMATIVOS!$C$1:$Z$1,0))="En proceso")+--(INDEX(NORMATIVOS!$C$170:$Z$170,1,MATCH($B$3,NORMATIVOS!$C$1:$Z$1,0))="En proceso")+--(INDEX(NORMATIVOS!$C$171:$Z$171,1,MATCH($B$3,NORMATIVOS!$C$1:$Z$1,0))="En proceso")+--(INDEX(NORMATIVOS!$C$172:$Z$172,1,MATCH($B$3,NORMATIVOS!$C$1:$Z$1,0))="En proceso")</f>
        <v>3</v>
      </c>
      <c r="G16">
        <f>--(INDEX(NORMATIVOS!$C$151:$Z$151,1,MATCH($B$3,NORMATIVOS!$C$1:$Z$1,0))="Proyección")+--(INDEX(NORMATIVOS!$C$152:$Z$152,1,MATCH($B$3,NORMATIVOS!$C$1:$Z$1,0))="Proyección")+--(INDEX(NORMATIVOS!$C$153:$Z$153,1,MATCH($B$3,NORMATIVOS!$C$1:$Z$1,0))="Proyección")+--(INDEX(NORMATIVOS!$C$154:$Z$154,1,MATCH($B$3,NORMATIVOS!$C$1:$Z$1,0))="Proyección")+--(INDEX(NORMATIVOS!$C$155:$Z$155,1,MATCH($B$3,NORMATIVOS!$C$1:$Z$1,0))="Proyección")+--(INDEX(NORMATIVOS!$C$156:$Z$156,1,MATCH($B$3,NORMATIVOS!$C$1:$Z$1,0))="Proyección")+--(INDEX(NORMATIVOS!$C$157:$Z$157,1,MATCH($B$3,NORMATIVOS!$C$1:$Z$1,0))="Proyección")+--(INDEX(NORMATIVOS!$C$158:$Z$158,1,MATCH($B$3,NORMATIVOS!$C$1:$Z$1,0))="Proyección")+--(INDEX(NORMATIVOS!$C$159:$Z$159,1,MATCH($B$3,NORMATIVOS!$C$1:$Z$1,0))="Proyección")+--(INDEX(NORMATIVOS!$C$160:$Z$160,1,MATCH($B$3,NORMATIVOS!$C$1:$Z$1,0))="Proyección")+--(INDEX(NORMATIVOS!$C$161:$Z$161,1,MATCH($B$3,NORMATIVOS!$C$1:$Z$1,0))="Proyección")+--(INDEX(NORMATIVOS!$C$162:$Z$162,1,MATCH($B$3,NORMATIVOS!$C$1:$Z$1,0))="Proyección")+--(INDEX(NORMATIVOS!$C$163:$Z$163,1,MATCH($B$3,NORMATIVOS!$C$1:$Z$1,0))="Proyección")+--(INDEX(NORMATIVOS!$C$164:$Z$164,1,MATCH($B$3,NORMATIVOS!$C$1:$Z$1,0))="Proyección")+--(INDEX(NORMATIVOS!$C$165:$Z$165,1,MATCH($B$3,NORMATIVOS!$C$1:$Z$1,0))="Proyección")+--(INDEX(NORMATIVOS!$C$166:$Z$166,1,MATCH($B$3,NORMATIVOS!$C$1:$Z$1,0))="Proyección")+--(INDEX(NORMATIVOS!$C$167:$Z$167,1,MATCH($B$3,NORMATIVOS!$C$1:$Z$1,0))="Proyección")+--(INDEX(NORMATIVOS!$C$168:$Z$168,1,MATCH($B$3,NORMATIVOS!$C$1:$Z$1,0))="Proyección")+--(INDEX(NORMATIVOS!$C$169:$Z$169,1,MATCH($B$3,NORMATIVOS!$C$1:$Z$1,0))="Proyección")+--(INDEX(NORMATIVOS!$C$170:$Z$170,1,MATCH($B$3,NORMATIVOS!$C$1:$Z$1,0))="Proyección")+--(INDEX(NORMATIVOS!$C$171:$Z$171,1,MATCH($B$3,NORMATIVOS!$C$1:$Z$1,0))="Proyección")+--(INDEX(NORMATIVOS!$C$172:$Z$172,1,MATCH($B$3,NORMATIVOS!$C$1:$Z$1,0))="Proyección")</f>
        <v>15</v>
      </c>
      <c r="H16" s="15">
        <f t="shared" si="0"/>
        <v>0.18181818181818182</v>
      </c>
      <c r="I16" t="str">
        <f>IF(F16&gt;0,CATALOGOS!$H$4,IF(G16&gt;0,CATALOGOS!$H$5,CATALOGOS!$H$3))</f>
        <v>Mesociclo</v>
      </c>
    </row>
    <row r="17" spans="1:9" x14ac:dyDescent="0.2">
      <c r="A17" s="14" t="str">
        <f>CATALOGOS!H6&amp;" – "&amp;CATALOGOS!I6</f>
        <v>No aplica – Sin carga</v>
      </c>
      <c r="B17">
        <f>COUNTIF($C$27:$C$290,CATALOGOS!G6)</f>
        <v>2</v>
      </c>
      <c r="D17" t="s">
        <v>278</v>
      </c>
      <c r="E17">
        <f>--(INDEX(NORMATIVOS!$C$175:$Z$175,1,MATCH($B$3,NORMATIVOS!$C$1:$Z$1,0))="Consolidado")+--(INDEX(NORMATIVOS!$C$176:$Z$176,1,MATCH($B$3,NORMATIVOS!$C$1:$Z$1,0))="Consolidado")+--(INDEX(NORMATIVOS!$C$177:$Z$177,1,MATCH($B$3,NORMATIVOS!$C$1:$Z$1,0))="Consolidado")+--(INDEX(NORMATIVOS!$C$178:$Z$178,1,MATCH($B$3,NORMATIVOS!$C$1:$Z$1,0))="Consolidado")+--(INDEX(NORMATIVOS!$C$179:$Z$179,1,MATCH($B$3,NORMATIVOS!$C$1:$Z$1,0))="Consolidado")+--(INDEX(NORMATIVOS!$C$180:$Z$180,1,MATCH($B$3,NORMATIVOS!$C$1:$Z$1,0))="Consolidado")+--(INDEX(NORMATIVOS!$C$181:$Z$181,1,MATCH($B$3,NORMATIVOS!$C$1:$Z$1,0))="Consolidado")+--(INDEX(NORMATIVOS!$C$182:$Z$182,1,MATCH($B$3,NORMATIVOS!$C$1:$Z$1,0))="Consolidado")+--(INDEX(NORMATIVOS!$C$183:$Z$183,1,MATCH($B$3,NORMATIVOS!$C$1:$Z$1,0))="Consolidado")+--(INDEX(NORMATIVOS!$C$184:$Z$184,1,MATCH($B$3,NORMATIVOS!$C$1:$Z$1,0))="Consolidado")+--(INDEX(NORMATIVOS!$C$185:$Z$185,1,MATCH($B$3,NORMATIVOS!$C$1:$Z$1,0))="Consolidado")+--(INDEX(NORMATIVOS!$C$186:$Z$186,1,MATCH($B$3,NORMATIVOS!$C$1:$Z$1,0))="Consolidado")+--(INDEX(NORMATIVOS!$C$187:$Z$187,1,MATCH($B$3,NORMATIVOS!$C$1:$Z$1,0))="Consolidado")+--(INDEX(NORMATIVOS!$C$188:$Z$188,1,MATCH($B$3,NORMATIVOS!$C$1:$Z$1,0))="Consolidado")+--(INDEX(NORMATIVOS!$C$189:$Z$189,1,MATCH($B$3,NORMATIVOS!$C$1:$Z$1,0))="Consolidado")+--(INDEX(NORMATIVOS!$C$190:$Z$190,1,MATCH($B$3,NORMATIVOS!$C$1:$Z$1,0))="Consolidado")+--(INDEX(NORMATIVOS!$C$191:$Z$191,1,MATCH($B$3,NORMATIVOS!$C$1:$Z$1,0))="Consolidado")+--(INDEX(NORMATIVOS!$C$192:$Z$192,1,MATCH($B$3,NORMATIVOS!$C$1:$Z$1,0))="Consolidado")</f>
        <v>9</v>
      </c>
      <c r="F17">
        <f>--(INDEX(NORMATIVOS!$C$175:$Z$175,1,MATCH($B$3,NORMATIVOS!$C$1:$Z$1,0))="En proceso")+--(INDEX(NORMATIVOS!$C$176:$Z$176,1,MATCH($B$3,NORMATIVOS!$C$1:$Z$1,0))="En proceso")+--(INDEX(NORMATIVOS!$C$177:$Z$177,1,MATCH($B$3,NORMATIVOS!$C$1:$Z$1,0))="En proceso")+--(INDEX(NORMATIVOS!$C$178:$Z$178,1,MATCH($B$3,NORMATIVOS!$C$1:$Z$1,0))="En proceso")+--(INDEX(NORMATIVOS!$C$179:$Z$179,1,MATCH($B$3,NORMATIVOS!$C$1:$Z$1,0))="En proceso")+--(INDEX(NORMATIVOS!$C$180:$Z$180,1,MATCH($B$3,NORMATIVOS!$C$1:$Z$1,0))="En proceso")+--(INDEX(NORMATIVOS!$C$181:$Z$181,1,MATCH($B$3,NORMATIVOS!$C$1:$Z$1,0))="En proceso")+--(INDEX(NORMATIVOS!$C$182:$Z$182,1,MATCH($B$3,NORMATIVOS!$C$1:$Z$1,0))="En proceso")+--(INDEX(NORMATIVOS!$C$183:$Z$183,1,MATCH($B$3,NORMATIVOS!$C$1:$Z$1,0))="En proceso")+--(INDEX(NORMATIVOS!$C$184:$Z$184,1,MATCH($B$3,NORMATIVOS!$C$1:$Z$1,0))="En proceso")+--(INDEX(NORMATIVOS!$C$185:$Z$185,1,MATCH($B$3,NORMATIVOS!$C$1:$Z$1,0))="En proceso")+--(INDEX(NORMATIVOS!$C$186:$Z$186,1,MATCH($B$3,NORMATIVOS!$C$1:$Z$1,0))="En proceso")+--(INDEX(NORMATIVOS!$C$187:$Z$187,1,MATCH($B$3,NORMATIVOS!$C$1:$Z$1,0))="En proceso")+--(INDEX(NORMATIVOS!$C$188:$Z$188,1,MATCH($B$3,NORMATIVOS!$C$1:$Z$1,0))="En proceso")+--(INDEX(NORMATIVOS!$C$189:$Z$189,1,MATCH($B$3,NORMATIVOS!$C$1:$Z$1,0))="En proceso")+--(INDEX(NORMATIVOS!$C$190:$Z$190,1,MATCH($B$3,NORMATIVOS!$C$1:$Z$1,0))="En proceso")+--(INDEX(NORMATIVOS!$C$191:$Z$191,1,MATCH($B$3,NORMATIVOS!$C$1:$Z$1,0))="En proceso")+--(INDEX(NORMATIVOS!$C$192:$Z$192,1,MATCH($B$3,NORMATIVOS!$C$1:$Z$1,0))="En proceso")</f>
        <v>0</v>
      </c>
      <c r="G17">
        <f>--(INDEX(NORMATIVOS!$C$175:$Z$175,1,MATCH($B$3,NORMATIVOS!$C$1:$Z$1,0))="Proyección")+--(INDEX(NORMATIVOS!$C$176:$Z$176,1,MATCH($B$3,NORMATIVOS!$C$1:$Z$1,0))="Proyección")+--(INDEX(NORMATIVOS!$C$177:$Z$177,1,MATCH($B$3,NORMATIVOS!$C$1:$Z$1,0))="Proyección")+--(INDEX(NORMATIVOS!$C$178:$Z$178,1,MATCH($B$3,NORMATIVOS!$C$1:$Z$1,0))="Proyección")+--(INDEX(NORMATIVOS!$C$179:$Z$179,1,MATCH($B$3,NORMATIVOS!$C$1:$Z$1,0))="Proyección")+--(INDEX(NORMATIVOS!$C$180:$Z$180,1,MATCH($B$3,NORMATIVOS!$C$1:$Z$1,0))="Proyección")+--(INDEX(NORMATIVOS!$C$181:$Z$181,1,MATCH($B$3,NORMATIVOS!$C$1:$Z$1,0))="Proyección")+--(INDEX(NORMATIVOS!$C$182:$Z$182,1,MATCH($B$3,NORMATIVOS!$C$1:$Z$1,0))="Proyección")+--(INDEX(NORMATIVOS!$C$183:$Z$183,1,MATCH($B$3,NORMATIVOS!$C$1:$Z$1,0))="Proyección")+--(INDEX(NORMATIVOS!$C$184:$Z$184,1,MATCH($B$3,NORMATIVOS!$C$1:$Z$1,0))="Proyección")+--(INDEX(NORMATIVOS!$C$185:$Z$185,1,MATCH($B$3,NORMATIVOS!$C$1:$Z$1,0))="Proyección")+--(INDEX(NORMATIVOS!$C$186:$Z$186,1,MATCH($B$3,NORMATIVOS!$C$1:$Z$1,0))="Proyección")+--(INDEX(NORMATIVOS!$C$187:$Z$187,1,MATCH($B$3,NORMATIVOS!$C$1:$Z$1,0))="Proyección")+--(INDEX(NORMATIVOS!$C$188:$Z$188,1,MATCH($B$3,NORMATIVOS!$C$1:$Z$1,0))="Proyección")+--(INDEX(NORMATIVOS!$C$189:$Z$189,1,MATCH($B$3,NORMATIVOS!$C$1:$Z$1,0))="Proyección")+--(INDEX(NORMATIVOS!$C$190:$Z$190,1,MATCH($B$3,NORMATIVOS!$C$1:$Z$1,0))="Proyección")+--(INDEX(NORMATIVOS!$C$191:$Z$191,1,MATCH($B$3,NORMATIVOS!$C$1:$Z$1,0))="Proyección")+--(INDEX(NORMATIVOS!$C$192:$Z$192,1,MATCH($B$3,NORMATIVOS!$C$1:$Z$1,0))="Proyección")</f>
        <v>9</v>
      </c>
      <c r="H17" s="15">
        <f t="shared" si="0"/>
        <v>0.5</v>
      </c>
      <c r="I17" t="str">
        <f>IF(F17&gt;0,CATALOGOS!$H$4,IF(G17&gt;0,CATALOGOS!$H$5,CATALOGOS!$H$3))</f>
        <v>Macrociclo</v>
      </c>
    </row>
    <row r="18" spans="1:9" x14ac:dyDescent="0.2">
      <c r="D18" t="s">
        <v>190</v>
      </c>
      <c r="E18">
        <f>--(INDEX(NORMATIVOS!$C$193:$Z$193,1,MATCH($B$3,NORMATIVOS!$C$1:$Z$1,0))="Consolidado")+--(INDEX(NORMATIVOS!$C$194:$Z$194,1,MATCH($B$3,NORMATIVOS!$C$1:$Z$1,0))="Consolidado")+--(INDEX(NORMATIVOS!$C$195:$Z$195,1,MATCH($B$3,NORMATIVOS!$C$1:$Z$1,0))="Consolidado")+--(INDEX(NORMATIVOS!$C$196:$Z$196,1,MATCH($B$3,NORMATIVOS!$C$1:$Z$1,0))="Consolidado")+--(INDEX(NORMATIVOS!$C$197:$Z$197,1,MATCH($B$3,NORMATIVOS!$C$1:$Z$1,0))="Consolidado")+--(INDEX(NORMATIVOS!$C$198:$Z$198,1,MATCH($B$3,NORMATIVOS!$C$1:$Z$1,0))="Consolidado")+--(INDEX(NORMATIVOS!$C$199:$Z$199,1,MATCH($B$3,NORMATIVOS!$C$1:$Z$1,0))="Consolidado")+--(INDEX(NORMATIVOS!$C$200:$Z$200,1,MATCH($B$3,NORMATIVOS!$C$1:$Z$1,0))="Consolidado")+--(INDEX(NORMATIVOS!$C$201:$Z$201,1,MATCH($B$3,NORMATIVOS!$C$1:$Z$1,0))="Consolidado")+--(INDEX(NORMATIVOS!$C$202:$Z$202,1,MATCH($B$3,NORMATIVOS!$C$1:$Z$1,0))="Consolidado")+--(INDEX(NORMATIVOS!$C$203:$Z$203,1,MATCH($B$3,NORMATIVOS!$C$1:$Z$1,0))="Consolidado")+--(INDEX(NORMATIVOS!$C$204:$Z$204,1,MATCH($B$3,NORMATIVOS!$C$1:$Z$1,0))="Consolidado")+--(INDEX(NORMATIVOS!$C$205:$Z$205,1,MATCH($B$3,NORMATIVOS!$C$1:$Z$1,0))="Consolidado")+--(INDEX(NORMATIVOS!$C$206:$Z$206,1,MATCH($B$3,NORMATIVOS!$C$1:$Z$1,0))="Consolidado")+--(INDEX(NORMATIVOS!$C$207:$Z$207,1,MATCH($B$3,NORMATIVOS!$C$1:$Z$1,0))="Consolidado")+--(INDEX(NORMATIVOS!$C$208:$Z$208,1,MATCH($B$3,NORMATIVOS!$C$1:$Z$1,0))="Consolidado")+--(INDEX(NORMATIVOS!$C$209:$Z$209,1,MATCH($B$3,NORMATIVOS!$C$1:$Z$1,0))="Consolidado")+--(INDEX(NORMATIVOS!$C$210:$Z$210,1,MATCH($B$3,NORMATIVOS!$C$1:$Z$1,0))="Consolidado")+--(INDEX(NORMATIVOS!$C$211:$Z$211,1,MATCH($B$3,NORMATIVOS!$C$1:$Z$1,0))="Consolidado")+--(INDEX(NORMATIVOS!$C$212:$Z$212,1,MATCH($B$3,NORMATIVOS!$C$1:$Z$1,0))="Consolidado")+--(INDEX(NORMATIVOS!$C$213:$Z$213,1,MATCH($B$3,NORMATIVOS!$C$1:$Z$1,0))="Consolidado")+--(INDEX(NORMATIVOS!$C$214:$Z$214,1,MATCH($B$3,NORMATIVOS!$C$1:$Z$1,0))="Consolidado")+--(INDEX(NORMATIVOS!$C$215:$Z$215,1,MATCH($B$3,NORMATIVOS!$C$1:$Z$1,0))="Consolidado")+--(INDEX(NORMATIVOS!$C$216:$Z$216,1,MATCH($B$3,NORMATIVOS!$C$1:$Z$1,0))="Consolidado")</f>
        <v>11</v>
      </c>
      <c r="F18">
        <f>--(INDEX(NORMATIVOS!$C$193:$Z$193,1,MATCH($B$3,NORMATIVOS!$C$1:$Z$1,0))="En proceso")+--(INDEX(NORMATIVOS!$C$194:$Z$194,1,MATCH($B$3,NORMATIVOS!$C$1:$Z$1,0))="En proceso")+--(INDEX(NORMATIVOS!$C$195:$Z$195,1,MATCH($B$3,NORMATIVOS!$C$1:$Z$1,0))="En proceso")+--(INDEX(NORMATIVOS!$C$196:$Z$196,1,MATCH($B$3,NORMATIVOS!$C$1:$Z$1,0))="En proceso")+--(INDEX(NORMATIVOS!$C$197:$Z$197,1,MATCH($B$3,NORMATIVOS!$C$1:$Z$1,0))="En proceso")+--(INDEX(NORMATIVOS!$C$198:$Z$198,1,MATCH($B$3,NORMATIVOS!$C$1:$Z$1,0))="En proceso")+--(INDEX(NORMATIVOS!$C$199:$Z$199,1,MATCH($B$3,NORMATIVOS!$C$1:$Z$1,0))="En proceso")+--(INDEX(NORMATIVOS!$C$200:$Z$200,1,MATCH($B$3,NORMATIVOS!$C$1:$Z$1,0))="En proceso")+--(INDEX(NORMATIVOS!$C$201:$Z$201,1,MATCH($B$3,NORMATIVOS!$C$1:$Z$1,0))="En proceso")+--(INDEX(NORMATIVOS!$C$202:$Z$202,1,MATCH($B$3,NORMATIVOS!$C$1:$Z$1,0))="En proceso")+--(INDEX(NORMATIVOS!$C$203:$Z$203,1,MATCH($B$3,NORMATIVOS!$C$1:$Z$1,0))="En proceso")+--(INDEX(NORMATIVOS!$C$204:$Z$204,1,MATCH($B$3,NORMATIVOS!$C$1:$Z$1,0))="En proceso")+--(INDEX(NORMATIVOS!$C$205:$Z$205,1,MATCH($B$3,NORMATIVOS!$C$1:$Z$1,0))="En proceso")+--(INDEX(NORMATIVOS!$C$206:$Z$206,1,MATCH($B$3,NORMATIVOS!$C$1:$Z$1,0))="En proceso")+--(INDEX(NORMATIVOS!$C$207:$Z$207,1,MATCH($B$3,NORMATIVOS!$C$1:$Z$1,0))="En proceso")+--(INDEX(NORMATIVOS!$C$208:$Z$208,1,MATCH($B$3,NORMATIVOS!$C$1:$Z$1,0))="En proceso")+--(INDEX(NORMATIVOS!$C$209:$Z$209,1,MATCH($B$3,NORMATIVOS!$C$1:$Z$1,0))="En proceso")+--(INDEX(NORMATIVOS!$C$210:$Z$210,1,MATCH($B$3,NORMATIVOS!$C$1:$Z$1,0))="En proceso")+--(INDEX(NORMATIVOS!$C$211:$Z$211,1,MATCH($B$3,NORMATIVOS!$C$1:$Z$1,0))="En proceso")+--(INDEX(NORMATIVOS!$C$212:$Z$212,1,MATCH($B$3,NORMATIVOS!$C$1:$Z$1,0))="En proceso")+--(INDEX(NORMATIVOS!$C$213:$Z$213,1,MATCH($B$3,NORMATIVOS!$C$1:$Z$1,0))="En proceso")+--(INDEX(NORMATIVOS!$C$214:$Z$214,1,MATCH($B$3,NORMATIVOS!$C$1:$Z$1,0))="En proceso")+--(INDEX(NORMATIVOS!$C$215:$Z$215,1,MATCH($B$3,NORMATIVOS!$C$1:$Z$1,0))="En proceso")+--(INDEX(NORMATIVOS!$C$216:$Z$216,1,MATCH($B$3,NORMATIVOS!$C$1:$Z$1,0))="En proceso")</f>
        <v>2</v>
      </c>
      <c r="G18">
        <f>--(INDEX(NORMATIVOS!$C$193:$Z$193,1,MATCH($B$3,NORMATIVOS!$C$1:$Z$1,0))="Proyección")+--(INDEX(NORMATIVOS!$C$194:$Z$194,1,MATCH($B$3,NORMATIVOS!$C$1:$Z$1,0))="Proyección")+--(INDEX(NORMATIVOS!$C$195:$Z$195,1,MATCH($B$3,NORMATIVOS!$C$1:$Z$1,0))="Proyección")+--(INDEX(NORMATIVOS!$C$196:$Z$196,1,MATCH($B$3,NORMATIVOS!$C$1:$Z$1,0))="Proyección")+--(INDEX(NORMATIVOS!$C$197:$Z$197,1,MATCH($B$3,NORMATIVOS!$C$1:$Z$1,0))="Proyección")+--(INDEX(NORMATIVOS!$C$198:$Z$198,1,MATCH($B$3,NORMATIVOS!$C$1:$Z$1,0))="Proyección")+--(INDEX(NORMATIVOS!$C$199:$Z$199,1,MATCH($B$3,NORMATIVOS!$C$1:$Z$1,0))="Proyección")+--(INDEX(NORMATIVOS!$C$200:$Z$200,1,MATCH($B$3,NORMATIVOS!$C$1:$Z$1,0))="Proyección")+--(INDEX(NORMATIVOS!$C$201:$Z$201,1,MATCH($B$3,NORMATIVOS!$C$1:$Z$1,0))="Proyección")+--(INDEX(NORMATIVOS!$C$202:$Z$202,1,MATCH($B$3,NORMATIVOS!$C$1:$Z$1,0))="Proyección")+--(INDEX(NORMATIVOS!$C$203:$Z$203,1,MATCH($B$3,NORMATIVOS!$C$1:$Z$1,0))="Proyección")+--(INDEX(NORMATIVOS!$C$204:$Z$204,1,MATCH($B$3,NORMATIVOS!$C$1:$Z$1,0))="Proyección")+--(INDEX(NORMATIVOS!$C$205:$Z$205,1,MATCH($B$3,NORMATIVOS!$C$1:$Z$1,0))="Proyección")+--(INDEX(NORMATIVOS!$C$206:$Z$206,1,MATCH($B$3,NORMATIVOS!$C$1:$Z$1,0))="Proyección")+--(INDEX(NORMATIVOS!$C$207:$Z$207,1,MATCH($B$3,NORMATIVOS!$C$1:$Z$1,0))="Proyección")+--(INDEX(NORMATIVOS!$C$208:$Z$208,1,MATCH($B$3,NORMATIVOS!$C$1:$Z$1,0))="Proyección")+--(INDEX(NORMATIVOS!$C$209:$Z$209,1,MATCH($B$3,NORMATIVOS!$C$1:$Z$1,0))="Proyección")+--(INDEX(NORMATIVOS!$C$210:$Z$210,1,MATCH($B$3,NORMATIVOS!$C$1:$Z$1,0))="Proyección")+--(INDEX(NORMATIVOS!$C$211:$Z$211,1,MATCH($B$3,NORMATIVOS!$C$1:$Z$1,0))="Proyección")+--(INDEX(NORMATIVOS!$C$212:$Z$212,1,MATCH($B$3,NORMATIVOS!$C$1:$Z$1,0))="Proyección")+--(INDEX(NORMATIVOS!$C$213:$Z$213,1,MATCH($B$3,NORMATIVOS!$C$1:$Z$1,0))="Proyección")+--(INDEX(NORMATIVOS!$C$214:$Z$214,1,MATCH($B$3,NORMATIVOS!$C$1:$Z$1,0))="Proyección")+--(INDEX(NORMATIVOS!$C$215:$Z$215,1,MATCH($B$3,NORMATIVOS!$C$1:$Z$1,0))="Proyección")+--(INDEX(NORMATIVOS!$C$216:$Z$216,1,MATCH($B$3,NORMATIVOS!$C$1:$Z$1,0))="Proyección")</f>
        <v>11</v>
      </c>
      <c r="H18" s="15">
        <f t="shared" si="0"/>
        <v>0.45833333333333331</v>
      </c>
      <c r="I18" t="str">
        <f>IF(F18&gt;0,CATALOGOS!$H$4,IF(G18&gt;0,CATALOGOS!$H$5,CATALOGOS!$H$3))</f>
        <v>Mesociclo</v>
      </c>
    </row>
    <row r="19" spans="1:9" x14ac:dyDescent="0.2">
      <c r="D19" t="s">
        <v>212</v>
      </c>
      <c r="E19">
        <f>--(INDEX(NORMATIVOS!$C$217:$Z$217,1,MATCH($B$3,NORMATIVOS!$C$1:$Z$1,0))="Consolidado")+--(INDEX(NORMATIVOS!$C$218:$Z$218,1,MATCH($B$3,NORMATIVOS!$C$1:$Z$1,0))="Consolidado")+--(INDEX(NORMATIVOS!$C$219:$Z$219,1,MATCH($B$3,NORMATIVOS!$C$1:$Z$1,0))="Consolidado")+--(INDEX(NORMATIVOS!$C$220:$Z$220,1,MATCH($B$3,NORMATIVOS!$C$1:$Z$1,0))="Consolidado")+--(INDEX(NORMATIVOS!$C$221:$Z$221,1,MATCH($B$3,NORMATIVOS!$C$1:$Z$1,0))="Consolidado")+--(INDEX(NORMATIVOS!$C$222:$Z$222,1,MATCH($B$3,NORMATIVOS!$C$1:$Z$1,0))="Consolidado")+--(INDEX(NORMATIVOS!$C$223:$Z$223,1,MATCH($B$3,NORMATIVOS!$C$1:$Z$1,0))="Consolidado")+--(INDEX(NORMATIVOS!$C$224:$Z$224,1,MATCH($B$3,NORMATIVOS!$C$1:$Z$1,0))="Consolidado")+--(INDEX(NORMATIVOS!$C$225:$Z$225,1,MATCH($B$3,NORMATIVOS!$C$1:$Z$1,0))="Consolidado")+--(INDEX(NORMATIVOS!$C$226:$Z$226,1,MATCH($B$3,NORMATIVOS!$C$1:$Z$1,0))="Consolidado")+--(INDEX(NORMATIVOS!$C$227:$Z$227,1,MATCH($B$3,NORMATIVOS!$C$1:$Z$1,0))="Consolidado")+--(INDEX(NORMATIVOS!$C$228:$Z$228,1,MATCH($B$3,NORMATIVOS!$C$1:$Z$1,0))="Consolidado")+--(INDEX(NORMATIVOS!$C$229:$Z$229,1,MATCH($B$3,NORMATIVOS!$C$1:$Z$1,0))="Consolidado")</f>
        <v>3</v>
      </c>
      <c r="F19">
        <f>--(INDEX(NORMATIVOS!$C$217:$Z$217,1,MATCH($B$3,NORMATIVOS!$C$1:$Z$1,0))="En proceso")+--(INDEX(NORMATIVOS!$C$218:$Z$218,1,MATCH($B$3,NORMATIVOS!$C$1:$Z$1,0))="En proceso")+--(INDEX(NORMATIVOS!$C$219:$Z$219,1,MATCH($B$3,NORMATIVOS!$C$1:$Z$1,0))="En proceso")+--(INDEX(NORMATIVOS!$C$220:$Z$220,1,MATCH($B$3,NORMATIVOS!$C$1:$Z$1,0))="En proceso")+--(INDEX(NORMATIVOS!$C$221:$Z$221,1,MATCH($B$3,NORMATIVOS!$C$1:$Z$1,0))="En proceso")+--(INDEX(NORMATIVOS!$C$222:$Z$222,1,MATCH($B$3,NORMATIVOS!$C$1:$Z$1,0))="En proceso")+--(INDEX(NORMATIVOS!$C$223:$Z$223,1,MATCH($B$3,NORMATIVOS!$C$1:$Z$1,0))="En proceso")+--(INDEX(NORMATIVOS!$C$224:$Z$224,1,MATCH($B$3,NORMATIVOS!$C$1:$Z$1,0))="En proceso")+--(INDEX(NORMATIVOS!$C$225:$Z$225,1,MATCH($B$3,NORMATIVOS!$C$1:$Z$1,0))="En proceso")+--(INDEX(NORMATIVOS!$C$226:$Z$226,1,MATCH($B$3,NORMATIVOS!$C$1:$Z$1,0))="En proceso")+--(INDEX(NORMATIVOS!$C$227:$Z$227,1,MATCH($B$3,NORMATIVOS!$C$1:$Z$1,0))="En proceso")+--(INDEX(NORMATIVOS!$C$228:$Z$228,1,MATCH($B$3,NORMATIVOS!$C$1:$Z$1,0))="En proceso")+--(INDEX(NORMATIVOS!$C$229:$Z$229,1,MATCH($B$3,NORMATIVOS!$C$1:$Z$1,0))="En proceso")</f>
        <v>2</v>
      </c>
      <c r="G19">
        <f>--(INDEX(NORMATIVOS!$C$217:$Z$217,1,MATCH($B$3,NORMATIVOS!$C$1:$Z$1,0))="Proyección")+--(INDEX(NORMATIVOS!$C$218:$Z$218,1,MATCH($B$3,NORMATIVOS!$C$1:$Z$1,0))="Proyección")+--(INDEX(NORMATIVOS!$C$219:$Z$219,1,MATCH($B$3,NORMATIVOS!$C$1:$Z$1,0))="Proyección")+--(INDEX(NORMATIVOS!$C$220:$Z$220,1,MATCH($B$3,NORMATIVOS!$C$1:$Z$1,0))="Proyección")+--(INDEX(NORMATIVOS!$C$221:$Z$221,1,MATCH($B$3,NORMATIVOS!$C$1:$Z$1,0))="Proyección")+--(INDEX(NORMATIVOS!$C$222:$Z$222,1,MATCH($B$3,NORMATIVOS!$C$1:$Z$1,0))="Proyección")+--(INDEX(NORMATIVOS!$C$223:$Z$223,1,MATCH($B$3,NORMATIVOS!$C$1:$Z$1,0))="Proyección")+--(INDEX(NORMATIVOS!$C$224:$Z$224,1,MATCH($B$3,NORMATIVOS!$C$1:$Z$1,0))="Proyección")+--(INDEX(NORMATIVOS!$C$225:$Z$225,1,MATCH($B$3,NORMATIVOS!$C$1:$Z$1,0))="Proyección")+--(INDEX(NORMATIVOS!$C$226:$Z$226,1,MATCH($B$3,NORMATIVOS!$C$1:$Z$1,0))="Proyección")+--(INDEX(NORMATIVOS!$C$227:$Z$227,1,MATCH($B$3,NORMATIVOS!$C$1:$Z$1,0))="Proyección")+--(INDEX(NORMATIVOS!$C$228:$Z$228,1,MATCH($B$3,NORMATIVOS!$C$1:$Z$1,0))="Proyección")+--(INDEX(NORMATIVOS!$C$229:$Z$229,1,MATCH($B$3,NORMATIVOS!$C$1:$Z$1,0))="Proyección")</f>
        <v>8</v>
      </c>
      <c r="H19" s="15">
        <f t="shared" si="0"/>
        <v>0.23076923076923078</v>
      </c>
      <c r="I19" t="str">
        <f>IF(F19&gt;0,CATALOGOS!$H$4,IF(G19&gt;0,CATALOGOS!$H$5,CATALOGOS!$H$3))</f>
        <v>Mesociclo</v>
      </c>
    </row>
    <row r="20" spans="1:9" x14ac:dyDescent="0.2">
      <c r="D20" t="s">
        <v>223</v>
      </c>
      <c r="E20">
        <f>--(INDEX(NORMATIVOS!$C$232:$Z$232,1,MATCH($B$3,NORMATIVOS!$C$1:$Z$1,0))="Consolidado")+--(INDEX(NORMATIVOS!$C$233:$Z$233,1,MATCH($B$3,NORMATIVOS!$C$1:$Z$1,0))="Consolidado")+--(INDEX(NORMATIVOS!$C$234:$Z$234,1,MATCH($B$3,NORMATIVOS!$C$1:$Z$1,0))="Consolidado")+--(INDEX(NORMATIVOS!$C$235:$Z$235,1,MATCH($B$3,NORMATIVOS!$C$1:$Z$1,0))="Consolidado")+--(INDEX(NORMATIVOS!$C$236:$Z$236,1,MATCH($B$3,NORMATIVOS!$C$1:$Z$1,0))="Consolidado")+--(INDEX(NORMATIVOS!$C$237:$Z$237,1,MATCH($B$3,NORMATIVOS!$C$1:$Z$1,0))="Consolidado")+--(INDEX(NORMATIVOS!$C$238:$Z$238,1,MATCH($B$3,NORMATIVOS!$C$1:$Z$1,0))="Consolidado")+--(INDEX(NORMATIVOS!$C$239:$Z$239,1,MATCH($B$3,NORMATIVOS!$C$1:$Z$1,0))="Consolidado")+--(INDEX(NORMATIVOS!$C$240:$Z$240,1,MATCH($B$3,NORMATIVOS!$C$1:$Z$1,0))="Consolidado")+--(INDEX(NORMATIVOS!$C$241:$Z$241,1,MATCH($B$3,NORMATIVOS!$C$1:$Z$1,0))="Consolidado")+--(INDEX(NORMATIVOS!$C$242:$Z$242,1,MATCH($B$3,NORMATIVOS!$C$1:$Z$1,0))="Consolidado")+--(INDEX(NORMATIVOS!$C$243:$Z$243,1,MATCH($B$3,NORMATIVOS!$C$1:$Z$1,0))="Consolidado")+--(INDEX(NORMATIVOS!$C$244:$Z$244,1,MATCH($B$3,NORMATIVOS!$C$1:$Z$1,0))="Consolidado")+--(INDEX(NORMATIVOS!$C$245:$Z$245,1,MATCH($B$3,NORMATIVOS!$C$1:$Z$1,0))="Consolidado")+--(INDEX(NORMATIVOS!$C$246:$Z$246,1,MATCH($B$3,NORMATIVOS!$C$1:$Z$1,0))="Consolidado")+--(INDEX(NORMATIVOS!$C$247:$Z$247,1,MATCH($B$3,NORMATIVOS!$C$1:$Z$1,0))="Consolidado")+--(INDEX(NORMATIVOS!$C$248:$Z$248,1,MATCH($B$3,NORMATIVOS!$C$1:$Z$1,0))="Consolidado")+--(INDEX(NORMATIVOS!$C$249:$Z$249,1,MATCH($B$3,NORMATIVOS!$C$1:$Z$1,0))="Consolidado")+--(INDEX(NORMATIVOS!$C$250:$Z$250,1,MATCH($B$3,NORMATIVOS!$C$1:$Z$1,0))="Consolidado")+--(INDEX(NORMATIVOS!$C$251:$Z$251,1,MATCH($B$3,NORMATIVOS!$C$1:$Z$1,0))="Consolidado")+--(INDEX(NORMATIVOS!$C$252:$Z$252,1,MATCH($B$3,NORMATIVOS!$C$1:$Z$1,0))="Consolidado")+--(INDEX(NORMATIVOS!$C$253:$Z$253,1,MATCH($B$3,NORMATIVOS!$C$1:$Z$1,0))="Consolidado")+--(INDEX(NORMATIVOS!$C$254:$Z$254,1,MATCH($B$3,NORMATIVOS!$C$1:$Z$1,0))="Consolidado")+--(INDEX(NORMATIVOS!$C$255:$Z$255,1,MATCH($B$3,NORMATIVOS!$C$1:$Z$1,0))="Consolidado")+--(INDEX(NORMATIVOS!$C$256:$Z$256,1,MATCH($B$3,NORMATIVOS!$C$1:$Z$1,0))="Consolidado")+--(INDEX(NORMATIVOS!$C$257:$Z$257,1,MATCH($B$3,NORMATIVOS!$C$1:$Z$1,0))="Consolidado")+--(INDEX(NORMATIVOS!$C$258:$Z$258,1,MATCH($B$3,NORMATIVOS!$C$1:$Z$1,0))="Consolidado")+--(INDEX(NORMATIVOS!$C$259:$Z$259,1,MATCH($B$3,NORMATIVOS!$C$1:$Z$1,0))="Consolidado")</f>
        <v>15</v>
      </c>
      <c r="F20">
        <f>--(INDEX(NORMATIVOS!$C$232:$Z$232,1,MATCH($B$3,NORMATIVOS!$C$1:$Z$1,0))="En proceso")+--(INDEX(NORMATIVOS!$C$233:$Z$233,1,MATCH($B$3,NORMATIVOS!$C$1:$Z$1,0))="En proceso")+--(INDEX(NORMATIVOS!$C$234:$Z$234,1,MATCH($B$3,NORMATIVOS!$C$1:$Z$1,0))="En proceso")+--(INDEX(NORMATIVOS!$C$235:$Z$235,1,MATCH($B$3,NORMATIVOS!$C$1:$Z$1,0))="En proceso")+--(INDEX(NORMATIVOS!$C$236:$Z$236,1,MATCH($B$3,NORMATIVOS!$C$1:$Z$1,0))="En proceso")+--(INDEX(NORMATIVOS!$C$237:$Z$237,1,MATCH($B$3,NORMATIVOS!$C$1:$Z$1,0))="En proceso")+--(INDEX(NORMATIVOS!$C$238:$Z$238,1,MATCH($B$3,NORMATIVOS!$C$1:$Z$1,0))="En proceso")+--(INDEX(NORMATIVOS!$C$239:$Z$239,1,MATCH($B$3,NORMATIVOS!$C$1:$Z$1,0))="En proceso")+--(INDEX(NORMATIVOS!$C$240:$Z$240,1,MATCH($B$3,NORMATIVOS!$C$1:$Z$1,0))="En proceso")+--(INDEX(NORMATIVOS!$C$241:$Z$241,1,MATCH($B$3,NORMATIVOS!$C$1:$Z$1,0))="En proceso")+--(INDEX(NORMATIVOS!$C$242:$Z$242,1,MATCH($B$3,NORMATIVOS!$C$1:$Z$1,0))="En proceso")+--(INDEX(NORMATIVOS!$C$243:$Z$243,1,MATCH($B$3,NORMATIVOS!$C$1:$Z$1,0))="En proceso")+--(INDEX(NORMATIVOS!$C$244:$Z$244,1,MATCH($B$3,NORMATIVOS!$C$1:$Z$1,0))="En proceso")+--(INDEX(NORMATIVOS!$C$245:$Z$245,1,MATCH($B$3,NORMATIVOS!$C$1:$Z$1,0))="En proceso")+--(INDEX(NORMATIVOS!$C$246:$Z$246,1,MATCH($B$3,NORMATIVOS!$C$1:$Z$1,0))="En proceso")+--(INDEX(NORMATIVOS!$C$247:$Z$247,1,MATCH($B$3,NORMATIVOS!$C$1:$Z$1,0))="En proceso")+--(INDEX(NORMATIVOS!$C$248:$Z$248,1,MATCH($B$3,NORMATIVOS!$C$1:$Z$1,0))="En proceso")+--(INDEX(NORMATIVOS!$C$249:$Z$249,1,MATCH($B$3,NORMATIVOS!$C$1:$Z$1,0))="En proceso")+--(INDEX(NORMATIVOS!$C$250:$Z$250,1,MATCH($B$3,NORMATIVOS!$C$1:$Z$1,0))="En proceso")+--(INDEX(NORMATIVOS!$C$251:$Z$251,1,MATCH($B$3,NORMATIVOS!$C$1:$Z$1,0))="En proceso")+--(INDEX(NORMATIVOS!$C$252:$Z$252,1,MATCH($B$3,NORMATIVOS!$C$1:$Z$1,0))="En proceso")+--(INDEX(NORMATIVOS!$C$253:$Z$253,1,MATCH($B$3,NORMATIVOS!$C$1:$Z$1,0))="En proceso")+--(INDEX(NORMATIVOS!$C$254:$Z$254,1,MATCH($B$3,NORMATIVOS!$C$1:$Z$1,0))="En proceso")+--(INDEX(NORMATIVOS!$C$255:$Z$255,1,MATCH($B$3,NORMATIVOS!$C$1:$Z$1,0))="En proceso")+--(INDEX(NORMATIVOS!$C$256:$Z$256,1,MATCH($B$3,NORMATIVOS!$C$1:$Z$1,0))="En proceso")+--(INDEX(NORMATIVOS!$C$257:$Z$257,1,MATCH($B$3,NORMATIVOS!$C$1:$Z$1,0))="En proceso")+--(INDEX(NORMATIVOS!$C$258:$Z$258,1,MATCH($B$3,NORMATIVOS!$C$1:$Z$1,0))="En proceso")+--(INDEX(NORMATIVOS!$C$259:$Z$259,1,MATCH($B$3,NORMATIVOS!$C$1:$Z$1,0))="En proceso")</f>
        <v>0</v>
      </c>
      <c r="G20">
        <f>--(INDEX(NORMATIVOS!$C$232:$Z$232,1,MATCH($B$3,NORMATIVOS!$C$1:$Z$1,0))="Proyección")+--(INDEX(NORMATIVOS!$C$233:$Z$233,1,MATCH($B$3,NORMATIVOS!$C$1:$Z$1,0))="Proyección")+--(INDEX(NORMATIVOS!$C$234:$Z$234,1,MATCH($B$3,NORMATIVOS!$C$1:$Z$1,0))="Proyección")+--(INDEX(NORMATIVOS!$C$235:$Z$235,1,MATCH($B$3,NORMATIVOS!$C$1:$Z$1,0))="Proyección")+--(INDEX(NORMATIVOS!$C$236:$Z$236,1,MATCH($B$3,NORMATIVOS!$C$1:$Z$1,0))="Proyección")+--(INDEX(NORMATIVOS!$C$237:$Z$237,1,MATCH($B$3,NORMATIVOS!$C$1:$Z$1,0))="Proyección")+--(INDEX(NORMATIVOS!$C$238:$Z$238,1,MATCH($B$3,NORMATIVOS!$C$1:$Z$1,0))="Proyección")+--(INDEX(NORMATIVOS!$C$239:$Z$239,1,MATCH($B$3,NORMATIVOS!$C$1:$Z$1,0))="Proyección")+--(INDEX(NORMATIVOS!$C$240:$Z$240,1,MATCH($B$3,NORMATIVOS!$C$1:$Z$1,0))="Proyección")+--(INDEX(NORMATIVOS!$C$241:$Z$241,1,MATCH($B$3,NORMATIVOS!$C$1:$Z$1,0))="Proyección")+--(INDEX(NORMATIVOS!$C$242:$Z$242,1,MATCH($B$3,NORMATIVOS!$C$1:$Z$1,0))="Proyección")+--(INDEX(NORMATIVOS!$C$243:$Z$243,1,MATCH($B$3,NORMATIVOS!$C$1:$Z$1,0))="Proyección")+--(INDEX(NORMATIVOS!$C$244:$Z$244,1,MATCH($B$3,NORMATIVOS!$C$1:$Z$1,0))="Proyección")+--(INDEX(NORMATIVOS!$C$245:$Z$245,1,MATCH($B$3,NORMATIVOS!$C$1:$Z$1,0))="Proyección")+--(INDEX(NORMATIVOS!$C$246:$Z$246,1,MATCH($B$3,NORMATIVOS!$C$1:$Z$1,0))="Proyección")+--(INDEX(NORMATIVOS!$C$247:$Z$247,1,MATCH($B$3,NORMATIVOS!$C$1:$Z$1,0))="Proyección")+--(INDEX(NORMATIVOS!$C$248:$Z$248,1,MATCH($B$3,NORMATIVOS!$C$1:$Z$1,0))="Proyección")+--(INDEX(NORMATIVOS!$C$249:$Z$249,1,MATCH($B$3,NORMATIVOS!$C$1:$Z$1,0))="Proyección")+--(INDEX(NORMATIVOS!$C$250:$Z$250,1,MATCH($B$3,NORMATIVOS!$C$1:$Z$1,0))="Proyección")+--(INDEX(NORMATIVOS!$C$251:$Z$251,1,MATCH($B$3,NORMATIVOS!$C$1:$Z$1,0))="Proyección")+--(INDEX(NORMATIVOS!$C$252:$Z$252,1,MATCH($B$3,NORMATIVOS!$C$1:$Z$1,0))="Proyección")+--(INDEX(NORMATIVOS!$C$253:$Z$253,1,MATCH($B$3,NORMATIVOS!$C$1:$Z$1,0))="Proyección")+--(INDEX(NORMATIVOS!$C$254:$Z$254,1,MATCH($B$3,NORMATIVOS!$C$1:$Z$1,0))="Proyección")+--(INDEX(NORMATIVOS!$C$255:$Z$255,1,MATCH($B$3,NORMATIVOS!$C$1:$Z$1,0))="Proyección")+--(INDEX(NORMATIVOS!$C$256:$Z$256,1,MATCH($B$3,NORMATIVOS!$C$1:$Z$1,0))="Proyección")+--(INDEX(NORMATIVOS!$C$257:$Z$257,1,MATCH($B$3,NORMATIVOS!$C$1:$Z$1,0))="Proyección")+--(INDEX(NORMATIVOS!$C$258:$Z$258,1,MATCH($B$3,NORMATIVOS!$C$1:$Z$1,0))="Proyección")+--(INDEX(NORMATIVOS!$C$259:$Z$259,1,MATCH($B$3,NORMATIVOS!$C$1:$Z$1,0))="Proyección")</f>
        <v>13</v>
      </c>
      <c r="H20" s="15">
        <f t="shared" si="0"/>
        <v>0.5357142857142857</v>
      </c>
      <c r="I20" t="str">
        <f>IF(F20&gt;0,CATALOGOS!$H$4,IF(G20&gt;0,CATALOGOS!$H$5,CATALOGOS!$H$3))</f>
        <v>Macrociclo</v>
      </c>
    </row>
    <row r="21" spans="1:9" x14ac:dyDescent="0.2">
      <c r="D21" t="s">
        <v>248</v>
      </c>
      <c r="E21">
        <f>--(INDEX(NORMATIVOS!$C$260:$Z$260,1,MATCH($B$3,NORMATIVOS!$C$1:$Z$1,0))="Consolidado")+--(INDEX(NORMATIVOS!$C$261:$Z$261,1,MATCH($B$3,NORMATIVOS!$C$1:$Z$1,0))="Consolidado")+--(INDEX(NORMATIVOS!$C$262:$Z$262,1,MATCH($B$3,NORMATIVOS!$C$1:$Z$1,0))="Consolidado")+--(INDEX(NORMATIVOS!$C$263:$Z$263,1,MATCH($B$3,NORMATIVOS!$C$1:$Z$1,0))="Consolidado")+--(INDEX(NORMATIVOS!$C$264:$Z$264,1,MATCH($B$3,NORMATIVOS!$C$1:$Z$1,0))="Consolidado")+--(INDEX(NORMATIVOS!$C$265:$Z$265,1,MATCH($B$3,NORMATIVOS!$C$1:$Z$1,0))="Consolidado")+--(INDEX(NORMATIVOS!$C$266:$Z$266,1,MATCH($B$3,NORMATIVOS!$C$1:$Z$1,0))="Consolidado")+--(INDEX(NORMATIVOS!$C$267:$Z$267,1,MATCH($B$3,NORMATIVOS!$C$1:$Z$1,0))="Consolidado")+--(INDEX(NORMATIVOS!$C$268:$Z$268,1,MATCH($B$3,NORMATIVOS!$C$1:$Z$1,0))="Consolidado")+--(INDEX(NORMATIVOS!$C$269:$Z$269,1,MATCH($B$3,NORMATIVOS!$C$1:$Z$1,0))="Consolidado")+--(INDEX(NORMATIVOS!$C$270:$Z$270,1,MATCH($B$3,NORMATIVOS!$C$1:$Z$1,0))="Consolidado")+--(INDEX(NORMATIVOS!$C$271:$Z$271,1,MATCH($B$3,NORMATIVOS!$C$1:$Z$1,0))="Consolidado")+--(INDEX(NORMATIVOS!$C$272:$Z$272,1,MATCH($B$3,NORMATIVOS!$C$1:$Z$1,0))="Consolidado")+--(INDEX(NORMATIVOS!$C$273:$Z$273,1,MATCH($B$3,NORMATIVOS!$C$1:$Z$1,0))="Consolidado")+--(INDEX(NORMATIVOS!$C$274:$Z$274,1,MATCH($B$3,NORMATIVOS!$C$1:$Z$1,0))="Consolidado")+--(INDEX(NORMATIVOS!$C$275:$Z$275,1,MATCH($B$3,NORMATIVOS!$C$1:$Z$1,0))="Consolidado")+--(INDEX(NORMATIVOS!$C$276:$Z$276,1,MATCH($B$3,NORMATIVOS!$C$1:$Z$1,0))="Consolidado")</f>
        <v>5</v>
      </c>
      <c r="F21">
        <f>--(INDEX(NORMATIVOS!$C$260:$Z$260,1,MATCH($B$3,NORMATIVOS!$C$1:$Z$1,0))="En proceso")+--(INDEX(NORMATIVOS!$C$261:$Z$261,1,MATCH($B$3,NORMATIVOS!$C$1:$Z$1,0))="En proceso")+--(INDEX(NORMATIVOS!$C$262:$Z$262,1,MATCH($B$3,NORMATIVOS!$C$1:$Z$1,0))="En proceso")+--(INDEX(NORMATIVOS!$C$263:$Z$263,1,MATCH($B$3,NORMATIVOS!$C$1:$Z$1,0))="En proceso")+--(INDEX(NORMATIVOS!$C$264:$Z$264,1,MATCH($B$3,NORMATIVOS!$C$1:$Z$1,0))="En proceso")+--(INDEX(NORMATIVOS!$C$265:$Z$265,1,MATCH($B$3,NORMATIVOS!$C$1:$Z$1,0))="En proceso")+--(INDEX(NORMATIVOS!$C$266:$Z$266,1,MATCH($B$3,NORMATIVOS!$C$1:$Z$1,0))="En proceso")+--(INDEX(NORMATIVOS!$C$267:$Z$267,1,MATCH($B$3,NORMATIVOS!$C$1:$Z$1,0))="En proceso")+--(INDEX(NORMATIVOS!$C$268:$Z$268,1,MATCH($B$3,NORMATIVOS!$C$1:$Z$1,0))="En proceso")+--(INDEX(NORMATIVOS!$C$269:$Z$269,1,MATCH($B$3,NORMATIVOS!$C$1:$Z$1,0))="En proceso")+--(INDEX(NORMATIVOS!$C$270:$Z$270,1,MATCH($B$3,NORMATIVOS!$C$1:$Z$1,0))="En proceso")+--(INDEX(NORMATIVOS!$C$271:$Z$271,1,MATCH($B$3,NORMATIVOS!$C$1:$Z$1,0))="En proceso")+--(INDEX(NORMATIVOS!$C$272:$Z$272,1,MATCH($B$3,NORMATIVOS!$C$1:$Z$1,0))="En proceso")+--(INDEX(NORMATIVOS!$C$273:$Z$273,1,MATCH($B$3,NORMATIVOS!$C$1:$Z$1,0))="En proceso")+--(INDEX(NORMATIVOS!$C$274:$Z$274,1,MATCH($B$3,NORMATIVOS!$C$1:$Z$1,0))="En proceso")+--(INDEX(NORMATIVOS!$C$275:$Z$275,1,MATCH($B$3,NORMATIVOS!$C$1:$Z$1,0))="En proceso")+--(INDEX(NORMATIVOS!$C$276:$Z$276,1,MATCH($B$3,NORMATIVOS!$C$1:$Z$1,0))="En proceso")</f>
        <v>6</v>
      </c>
      <c r="G21">
        <f>--(INDEX(NORMATIVOS!$C$260:$Z$260,1,MATCH($B$3,NORMATIVOS!$C$1:$Z$1,0))="Proyección")+--(INDEX(NORMATIVOS!$C$261:$Z$261,1,MATCH($B$3,NORMATIVOS!$C$1:$Z$1,0))="Proyección")+--(INDEX(NORMATIVOS!$C$262:$Z$262,1,MATCH($B$3,NORMATIVOS!$C$1:$Z$1,0))="Proyección")+--(INDEX(NORMATIVOS!$C$263:$Z$263,1,MATCH($B$3,NORMATIVOS!$C$1:$Z$1,0))="Proyección")+--(INDEX(NORMATIVOS!$C$264:$Z$264,1,MATCH($B$3,NORMATIVOS!$C$1:$Z$1,0))="Proyección")+--(INDEX(NORMATIVOS!$C$265:$Z$265,1,MATCH($B$3,NORMATIVOS!$C$1:$Z$1,0))="Proyección")+--(INDEX(NORMATIVOS!$C$266:$Z$266,1,MATCH($B$3,NORMATIVOS!$C$1:$Z$1,0))="Proyección")+--(INDEX(NORMATIVOS!$C$267:$Z$267,1,MATCH($B$3,NORMATIVOS!$C$1:$Z$1,0))="Proyección")+--(INDEX(NORMATIVOS!$C$268:$Z$268,1,MATCH($B$3,NORMATIVOS!$C$1:$Z$1,0))="Proyección")+--(INDEX(NORMATIVOS!$C$269:$Z$269,1,MATCH($B$3,NORMATIVOS!$C$1:$Z$1,0))="Proyección")+--(INDEX(NORMATIVOS!$C$270:$Z$270,1,MATCH($B$3,NORMATIVOS!$C$1:$Z$1,0))="Proyección")+--(INDEX(NORMATIVOS!$C$271:$Z$271,1,MATCH($B$3,NORMATIVOS!$C$1:$Z$1,0))="Proyección")+--(INDEX(NORMATIVOS!$C$272:$Z$272,1,MATCH($B$3,NORMATIVOS!$C$1:$Z$1,0))="Proyección")+--(INDEX(NORMATIVOS!$C$273:$Z$273,1,MATCH($B$3,NORMATIVOS!$C$1:$Z$1,0))="Proyección")+--(INDEX(NORMATIVOS!$C$274:$Z$274,1,MATCH($B$3,NORMATIVOS!$C$1:$Z$1,0))="Proyección")+--(INDEX(NORMATIVOS!$C$275:$Z$275,1,MATCH($B$3,NORMATIVOS!$C$1:$Z$1,0))="Proyección")+--(INDEX(NORMATIVOS!$C$276:$Z$276,1,MATCH($B$3,NORMATIVOS!$C$1:$Z$1,0))="Proyección")</f>
        <v>6</v>
      </c>
      <c r="H21" s="15">
        <f t="shared" si="0"/>
        <v>0.29411764705882354</v>
      </c>
      <c r="I21" t="str">
        <f>IF(F21&gt;0,CATALOGOS!$H$4,IF(G21&gt;0,CATALOGOS!$H$5,CATALOGOS!$H$3))</f>
        <v>Mesociclo</v>
      </c>
    </row>
    <row r="25" spans="1:9" x14ac:dyDescent="0.2">
      <c r="A25" s="61" t="s">
        <v>289</v>
      </c>
      <c r="B25" s="59"/>
      <c r="C25" s="59"/>
    </row>
    <row r="26" spans="1:9" x14ac:dyDescent="0.2">
      <c r="A26" s="10" t="s">
        <v>288</v>
      </c>
      <c r="B26" s="10" t="s">
        <v>290</v>
      </c>
      <c r="C26" s="10" t="s">
        <v>291</v>
      </c>
      <c r="D26" s="10" t="s">
        <v>329</v>
      </c>
      <c r="E26" s="10" t="s">
        <v>330</v>
      </c>
    </row>
    <row r="27" spans="1:9" x14ac:dyDescent="0.2">
      <c r="A27" t="s">
        <v>1</v>
      </c>
      <c r="B27" t="s">
        <v>2</v>
      </c>
      <c r="C27" t="str">
        <f>INDEX(NORMATIVOS!$C$3:$Z$3,1,MATCH($B$3,NORMATIVOS!$C$1:$Z$1,0))</f>
        <v>En proceso</v>
      </c>
      <c r="D27" t="str">
        <f>IFERROR(INDEX(CATALOGOS!$H$3:$H$6,MATCH(C27,CATALOGOS!$G$3:$G$6,0)),"")</f>
        <v>Mesociclo</v>
      </c>
      <c r="E27" t="str">
        <f>IFERROR(INDEX(CATALOGOS!$I$3:$I$6,MATCH(C27,CATALOGOS!$G$3:$G$6,0)),"")</f>
        <v>Desarrollar / consolidar</v>
      </c>
    </row>
    <row r="28" spans="1:9" x14ac:dyDescent="0.2">
      <c r="A28" t="s">
        <v>1</v>
      </c>
      <c r="B28" t="s">
        <v>5</v>
      </c>
      <c r="C28" t="str">
        <f>INDEX(NORMATIVOS!$C$4:$Z$4,1,MATCH($B$3,NORMATIVOS!$C$1:$Z$1,0))</f>
        <v>Consolidado</v>
      </c>
      <c r="D28" t="str">
        <f>IFERROR(INDEX(CATALOGOS!$H$3:$H$6,MATCH(C28,CATALOGOS!$G$3:$G$6,0)),"")</f>
        <v>Microciclo</v>
      </c>
      <c r="E28" t="str">
        <f>IFERROR(INDEX(CATALOGOS!$I$3:$I$6,MATCH(C28,CATALOGOS!$G$3:$G$6,0)),"")</f>
        <v>Mantener / perfeccionar</v>
      </c>
    </row>
    <row r="29" spans="1:9" x14ac:dyDescent="0.2">
      <c r="A29" t="s">
        <v>1</v>
      </c>
      <c r="B29" t="s">
        <v>6</v>
      </c>
      <c r="C29" t="str">
        <f>INDEX(NORMATIVOS!$C$5:$Z$5,1,MATCH($B$3,NORMATIVOS!$C$1:$Z$1,0))</f>
        <v>Consolidado</v>
      </c>
      <c r="D29" t="str">
        <f>IFERROR(INDEX(CATALOGOS!$H$3:$H$6,MATCH(C29,CATALOGOS!$G$3:$G$6,0)),"")</f>
        <v>Microciclo</v>
      </c>
      <c r="E29" t="str">
        <f>IFERROR(INDEX(CATALOGOS!$I$3:$I$6,MATCH(C29,CATALOGOS!$G$3:$G$6,0)),"")</f>
        <v>Mantener / perfeccionar</v>
      </c>
    </row>
    <row r="30" spans="1:9" x14ac:dyDescent="0.2">
      <c r="A30" t="s">
        <v>1</v>
      </c>
      <c r="B30" t="s">
        <v>7</v>
      </c>
      <c r="C30" t="str">
        <f>INDEX(NORMATIVOS!$C$6:$Z$6,1,MATCH($B$3,NORMATIVOS!$C$1:$Z$1,0))</f>
        <v>Consolidado</v>
      </c>
      <c r="D30" t="str">
        <f>IFERROR(INDEX(CATALOGOS!$H$3:$H$6,MATCH(C30,CATALOGOS!$G$3:$G$6,0)),"")</f>
        <v>Microciclo</v>
      </c>
      <c r="E30" t="str">
        <f>IFERROR(INDEX(CATALOGOS!$I$3:$I$6,MATCH(C30,CATALOGOS!$G$3:$G$6,0)),"")</f>
        <v>Mantener / perfeccionar</v>
      </c>
    </row>
    <row r="31" spans="1:9" x14ac:dyDescent="0.2">
      <c r="A31" t="s">
        <v>1</v>
      </c>
      <c r="B31" t="s">
        <v>8</v>
      </c>
      <c r="C31" t="str">
        <f>INDEX(NORMATIVOS!$C$7:$Z$7,1,MATCH($B$3,NORMATIVOS!$C$1:$Z$1,0))</f>
        <v>Consolidado</v>
      </c>
      <c r="D31" t="str">
        <f>IFERROR(INDEX(CATALOGOS!$H$3:$H$6,MATCH(C31,CATALOGOS!$G$3:$G$6,0)),"")</f>
        <v>Microciclo</v>
      </c>
      <c r="E31" t="str">
        <f>IFERROR(INDEX(CATALOGOS!$I$3:$I$6,MATCH(C31,CATALOGOS!$G$3:$G$6,0)),"")</f>
        <v>Mantener / perfeccionar</v>
      </c>
    </row>
    <row r="32" spans="1:9" x14ac:dyDescent="0.2">
      <c r="A32" t="s">
        <v>1</v>
      </c>
      <c r="B32" t="s">
        <v>9</v>
      </c>
      <c r="C32" t="str">
        <f>INDEX(NORMATIVOS!$C$8:$Z$8,1,MATCH($B$3,NORMATIVOS!$C$1:$Z$1,0))</f>
        <v>En proceso</v>
      </c>
      <c r="D32" t="str">
        <f>IFERROR(INDEX(CATALOGOS!$H$3:$H$6,MATCH(C32,CATALOGOS!$G$3:$G$6,0)),"")</f>
        <v>Mesociclo</v>
      </c>
      <c r="E32" t="str">
        <f>IFERROR(INDEX(CATALOGOS!$I$3:$I$6,MATCH(C32,CATALOGOS!$G$3:$G$6,0)),"")</f>
        <v>Desarrollar / consolidar</v>
      </c>
    </row>
    <row r="33" spans="1:5" x14ac:dyDescent="0.2">
      <c r="A33" t="s">
        <v>1</v>
      </c>
      <c r="B33" t="s">
        <v>10</v>
      </c>
      <c r="C33" t="str">
        <f>INDEX(NORMATIVOS!$C$9:$Z$9,1,MATCH($B$3,NORMATIVOS!$C$1:$Z$1,0))</f>
        <v>En proceso</v>
      </c>
      <c r="D33" t="str">
        <f>IFERROR(INDEX(CATALOGOS!$H$3:$H$6,MATCH(C33,CATALOGOS!$G$3:$G$6,0)),"")</f>
        <v>Mesociclo</v>
      </c>
      <c r="E33" t="str">
        <f>IFERROR(INDEX(CATALOGOS!$I$3:$I$6,MATCH(C33,CATALOGOS!$G$3:$G$6,0)),"")</f>
        <v>Desarrollar / consolidar</v>
      </c>
    </row>
    <row r="34" spans="1:5" x14ac:dyDescent="0.2">
      <c r="A34" t="s">
        <v>1</v>
      </c>
      <c r="B34" t="s">
        <v>11</v>
      </c>
      <c r="C34" t="str">
        <f>INDEX(NORMATIVOS!$C$10:$Z$10,1,MATCH($B$3,NORMATIVOS!$C$1:$Z$1,0))</f>
        <v>En proceso</v>
      </c>
      <c r="D34" t="str">
        <f>IFERROR(INDEX(CATALOGOS!$H$3:$H$6,MATCH(C34,CATALOGOS!$G$3:$G$6,0)),"")</f>
        <v>Mesociclo</v>
      </c>
      <c r="E34" t="str">
        <f>IFERROR(INDEX(CATALOGOS!$I$3:$I$6,MATCH(C34,CATALOGOS!$G$3:$G$6,0)),"")</f>
        <v>Desarrollar / consolidar</v>
      </c>
    </row>
    <row r="35" spans="1:5" x14ac:dyDescent="0.2">
      <c r="A35" t="s">
        <v>1</v>
      </c>
      <c r="B35" t="s">
        <v>12</v>
      </c>
      <c r="C35" t="str">
        <f>INDEX(NORMATIVOS!$C$11:$Z$11,1,MATCH($B$3,NORMATIVOS!$C$1:$Z$1,0))</f>
        <v>Consolidado</v>
      </c>
      <c r="D35" t="str">
        <f>IFERROR(INDEX(CATALOGOS!$H$3:$H$6,MATCH(C35,CATALOGOS!$G$3:$G$6,0)),"")</f>
        <v>Microciclo</v>
      </c>
      <c r="E35" t="str">
        <f>IFERROR(INDEX(CATALOGOS!$I$3:$I$6,MATCH(C35,CATALOGOS!$G$3:$G$6,0)),"")</f>
        <v>Mantener / perfeccionar</v>
      </c>
    </row>
    <row r="36" spans="1:5" x14ac:dyDescent="0.2">
      <c r="A36" t="s">
        <v>1</v>
      </c>
      <c r="B36" t="s">
        <v>13</v>
      </c>
      <c r="C36" t="str">
        <f>INDEX(NORMATIVOS!$C$12:$Z$12,1,MATCH($B$3,NORMATIVOS!$C$1:$Z$1,0))</f>
        <v>Consolidado</v>
      </c>
      <c r="D36" t="str">
        <f>IFERROR(INDEX(CATALOGOS!$H$3:$H$6,MATCH(C36,CATALOGOS!$G$3:$G$6,0)),"")</f>
        <v>Microciclo</v>
      </c>
      <c r="E36" t="str">
        <f>IFERROR(INDEX(CATALOGOS!$I$3:$I$6,MATCH(C36,CATALOGOS!$G$3:$G$6,0)),"")</f>
        <v>Mantener / perfeccionar</v>
      </c>
    </row>
    <row r="37" spans="1:5" x14ac:dyDescent="0.2">
      <c r="A37" t="s">
        <v>1</v>
      </c>
      <c r="B37" t="s">
        <v>14</v>
      </c>
      <c r="C37" t="str">
        <f>INDEX(NORMATIVOS!$C$13:$Z$13,1,MATCH($B$3,NORMATIVOS!$C$1:$Z$1,0))</f>
        <v>Consolidado</v>
      </c>
      <c r="D37" t="str">
        <f>IFERROR(INDEX(CATALOGOS!$H$3:$H$6,MATCH(C37,CATALOGOS!$G$3:$G$6,0)),"")</f>
        <v>Microciclo</v>
      </c>
      <c r="E37" t="str">
        <f>IFERROR(INDEX(CATALOGOS!$I$3:$I$6,MATCH(C37,CATALOGOS!$G$3:$G$6,0)),"")</f>
        <v>Mantener / perfeccionar</v>
      </c>
    </row>
    <row r="38" spans="1:5" x14ac:dyDescent="0.2">
      <c r="A38" t="s">
        <v>1</v>
      </c>
      <c r="B38" t="s">
        <v>15</v>
      </c>
      <c r="C38" t="str">
        <f>INDEX(NORMATIVOS!$C$14:$Z$14,1,MATCH($B$3,NORMATIVOS!$C$1:$Z$1,0))</f>
        <v>Consolidado</v>
      </c>
      <c r="D38" t="str">
        <f>IFERROR(INDEX(CATALOGOS!$H$3:$H$6,MATCH(C38,CATALOGOS!$G$3:$G$6,0)),"")</f>
        <v>Microciclo</v>
      </c>
      <c r="E38" t="str">
        <f>IFERROR(INDEX(CATALOGOS!$I$3:$I$6,MATCH(C38,CATALOGOS!$G$3:$G$6,0)),"")</f>
        <v>Mantener / perfeccionar</v>
      </c>
    </row>
    <row r="39" spans="1:5" x14ac:dyDescent="0.2">
      <c r="A39" t="s">
        <v>1</v>
      </c>
      <c r="B39" t="s">
        <v>16</v>
      </c>
      <c r="C39" t="str">
        <f>INDEX(NORMATIVOS!$C$15:$Z$15,1,MATCH($B$3,NORMATIVOS!$C$1:$Z$1,0))</f>
        <v>En proceso</v>
      </c>
      <c r="D39" t="str">
        <f>IFERROR(INDEX(CATALOGOS!$H$3:$H$6,MATCH(C39,CATALOGOS!$G$3:$G$6,0)),"")</f>
        <v>Mesociclo</v>
      </c>
      <c r="E39" t="str">
        <f>IFERROR(INDEX(CATALOGOS!$I$3:$I$6,MATCH(C39,CATALOGOS!$G$3:$G$6,0)),"")</f>
        <v>Desarrollar / consolidar</v>
      </c>
    </row>
    <row r="40" spans="1:5" x14ac:dyDescent="0.2">
      <c r="A40" t="s">
        <v>1</v>
      </c>
      <c r="B40" t="s">
        <v>17</v>
      </c>
      <c r="C40" t="str">
        <f>INDEX(NORMATIVOS!$C$16:$Z$16,1,MATCH($B$3,NORMATIVOS!$C$1:$Z$1,0))</f>
        <v>Consolidado</v>
      </c>
      <c r="D40" t="str">
        <f>IFERROR(INDEX(CATALOGOS!$H$3:$H$6,MATCH(C40,CATALOGOS!$G$3:$G$6,0)),"")</f>
        <v>Microciclo</v>
      </c>
      <c r="E40" t="str">
        <f>IFERROR(INDEX(CATALOGOS!$I$3:$I$6,MATCH(C40,CATALOGOS!$G$3:$G$6,0)),"")</f>
        <v>Mantener / perfeccionar</v>
      </c>
    </row>
    <row r="41" spans="1:5" x14ac:dyDescent="0.2">
      <c r="A41" t="s">
        <v>271</v>
      </c>
      <c r="B41" t="s">
        <v>292</v>
      </c>
      <c r="C41" t="str">
        <f>INDEX(NORMATIVOS!$C$17:$Z$17,1,MATCH($B$3,NORMATIVOS!$C$1:$Z$1,0))</f>
        <v>Consolidado</v>
      </c>
      <c r="D41" t="str">
        <f>IFERROR(INDEX(CATALOGOS!$H$3:$H$6,MATCH(C41,CATALOGOS!$G$3:$G$6,0)),"")</f>
        <v>Microciclo</v>
      </c>
      <c r="E41" t="str">
        <f>IFERROR(INDEX(CATALOGOS!$I$3:$I$6,MATCH(C41,CATALOGOS!$G$3:$G$6,0)),"")</f>
        <v>Mantener / perfeccionar</v>
      </c>
    </row>
    <row r="42" spans="1:5" x14ac:dyDescent="0.2">
      <c r="A42" t="s">
        <v>271</v>
      </c>
      <c r="B42" t="s">
        <v>20</v>
      </c>
      <c r="C42" t="str">
        <f>INDEX(NORMATIVOS!$C$18:$Z$18,1,MATCH($B$3,NORMATIVOS!$C$1:$Z$1,0))</f>
        <v>Consolidado</v>
      </c>
      <c r="D42" t="str">
        <f>IFERROR(INDEX(CATALOGOS!$H$3:$H$6,MATCH(C42,CATALOGOS!$G$3:$G$6,0)),"")</f>
        <v>Microciclo</v>
      </c>
      <c r="E42" t="str">
        <f>IFERROR(INDEX(CATALOGOS!$I$3:$I$6,MATCH(C42,CATALOGOS!$G$3:$G$6,0)),"")</f>
        <v>Mantener / perfeccionar</v>
      </c>
    </row>
    <row r="43" spans="1:5" x14ac:dyDescent="0.2">
      <c r="A43" t="s">
        <v>271</v>
      </c>
      <c r="B43" t="s">
        <v>21</v>
      </c>
      <c r="C43" t="str">
        <f>INDEX(NORMATIVOS!$C$19:$Z$19,1,MATCH($B$3,NORMATIVOS!$C$1:$Z$1,0))</f>
        <v>Consolidado</v>
      </c>
      <c r="D43" t="str">
        <f>IFERROR(INDEX(CATALOGOS!$H$3:$H$6,MATCH(C43,CATALOGOS!$G$3:$G$6,0)),"")</f>
        <v>Microciclo</v>
      </c>
      <c r="E43" t="str">
        <f>IFERROR(INDEX(CATALOGOS!$I$3:$I$6,MATCH(C43,CATALOGOS!$G$3:$G$6,0)),"")</f>
        <v>Mantener / perfeccionar</v>
      </c>
    </row>
    <row r="44" spans="1:5" x14ac:dyDescent="0.2">
      <c r="A44" t="s">
        <v>271</v>
      </c>
      <c r="B44" t="s">
        <v>22</v>
      </c>
      <c r="C44" t="str">
        <f>INDEX(NORMATIVOS!$C$20:$Z$20,1,MATCH($B$3,NORMATIVOS!$C$1:$Z$1,0))</f>
        <v>Consolidado</v>
      </c>
      <c r="D44" t="str">
        <f>IFERROR(INDEX(CATALOGOS!$H$3:$H$6,MATCH(C44,CATALOGOS!$G$3:$G$6,0)),"")</f>
        <v>Microciclo</v>
      </c>
      <c r="E44" t="str">
        <f>IFERROR(INDEX(CATALOGOS!$I$3:$I$6,MATCH(C44,CATALOGOS!$G$3:$G$6,0)),"")</f>
        <v>Mantener / perfeccionar</v>
      </c>
    </row>
    <row r="45" spans="1:5" x14ac:dyDescent="0.2">
      <c r="A45" t="s">
        <v>271</v>
      </c>
      <c r="B45" t="s">
        <v>23</v>
      </c>
      <c r="C45" t="str">
        <f>INDEX(NORMATIVOS!$C$21:$Z$21,1,MATCH($B$3,NORMATIVOS!$C$1:$Z$1,0))</f>
        <v>Consolidado</v>
      </c>
      <c r="D45" t="str">
        <f>IFERROR(INDEX(CATALOGOS!$H$3:$H$6,MATCH(C45,CATALOGOS!$G$3:$G$6,0)),"")</f>
        <v>Microciclo</v>
      </c>
      <c r="E45" t="str">
        <f>IFERROR(INDEX(CATALOGOS!$I$3:$I$6,MATCH(C45,CATALOGOS!$G$3:$G$6,0)),"")</f>
        <v>Mantener / perfeccionar</v>
      </c>
    </row>
    <row r="46" spans="1:5" x14ac:dyDescent="0.2">
      <c r="A46" t="s">
        <v>271</v>
      </c>
      <c r="B46" t="s">
        <v>24</v>
      </c>
      <c r="C46" t="str">
        <f>INDEX(NORMATIVOS!$C$22:$Z$22,1,MATCH($B$3,NORMATIVOS!$C$1:$Z$1,0))</f>
        <v>Consolidado</v>
      </c>
      <c r="D46" t="str">
        <f>IFERROR(INDEX(CATALOGOS!$H$3:$H$6,MATCH(C46,CATALOGOS!$G$3:$G$6,0)),"")</f>
        <v>Microciclo</v>
      </c>
      <c r="E46" t="str">
        <f>IFERROR(INDEX(CATALOGOS!$I$3:$I$6,MATCH(C46,CATALOGOS!$G$3:$G$6,0)),"")</f>
        <v>Mantener / perfeccionar</v>
      </c>
    </row>
    <row r="47" spans="1:5" x14ac:dyDescent="0.2">
      <c r="A47" t="s">
        <v>271</v>
      </c>
      <c r="B47" t="s">
        <v>293</v>
      </c>
      <c r="C47" t="str">
        <f>INDEX(NORMATIVOS!$C$23:$Z$23,1,MATCH($B$3,NORMATIVOS!$C$1:$Z$1,0))</f>
        <v>Consolidado</v>
      </c>
      <c r="D47" t="str">
        <f>IFERROR(INDEX(CATALOGOS!$H$3:$H$6,MATCH(C47,CATALOGOS!$G$3:$G$6,0)),"")</f>
        <v>Microciclo</v>
      </c>
      <c r="E47" t="str">
        <f>IFERROR(INDEX(CATALOGOS!$I$3:$I$6,MATCH(C47,CATALOGOS!$G$3:$G$6,0)),"")</f>
        <v>Mantener / perfeccionar</v>
      </c>
    </row>
    <row r="48" spans="1:5" x14ac:dyDescent="0.2">
      <c r="A48" t="s">
        <v>271</v>
      </c>
      <c r="B48" t="s">
        <v>26</v>
      </c>
      <c r="C48" t="str">
        <f>INDEX(NORMATIVOS!$C$24:$Z$24,1,MATCH($B$3,NORMATIVOS!$C$1:$Z$1,0))</f>
        <v>En proceso</v>
      </c>
      <c r="D48" t="str">
        <f>IFERROR(INDEX(CATALOGOS!$H$3:$H$6,MATCH(C48,CATALOGOS!$G$3:$G$6,0)),"")</f>
        <v>Mesociclo</v>
      </c>
      <c r="E48" t="str">
        <f>IFERROR(INDEX(CATALOGOS!$I$3:$I$6,MATCH(C48,CATALOGOS!$G$3:$G$6,0)),"")</f>
        <v>Desarrollar / consolidar</v>
      </c>
    </row>
    <row r="49" spans="1:5" x14ac:dyDescent="0.2">
      <c r="A49" t="s">
        <v>271</v>
      </c>
      <c r="B49" t="s">
        <v>27</v>
      </c>
      <c r="C49" t="str">
        <f>INDEX(NORMATIVOS!$C$25:$Z$25,1,MATCH($B$3,NORMATIVOS!$C$1:$Z$1,0))</f>
        <v>En proceso</v>
      </c>
      <c r="D49" t="str">
        <f>IFERROR(INDEX(CATALOGOS!$H$3:$H$6,MATCH(C49,CATALOGOS!$G$3:$G$6,0)),"")</f>
        <v>Mesociclo</v>
      </c>
      <c r="E49" t="str">
        <f>IFERROR(INDEX(CATALOGOS!$I$3:$I$6,MATCH(C49,CATALOGOS!$G$3:$G$6,0)),"")</f>
        <v>Desarrollar / consolidar</v>
      </c>
    </row>
    <row r="50" spans="1:5" x14ac:dyDescent="0.2">
      <c r="A50" t="s">
        <v>271</v>
      </c>
      <c r="B50" t="s">
        <v>28</v>
      </c>
      <c r="C50" t="str">
        <f>INDEX(NORMATIVOS!$C$26:$Z$26,1,MATCH($B$3,NORMATIVOS!$C$1:$Z$1,0))</f>
        <v>Consolidado</v>
      </c>
      <c r="D50" t="str">
        <f>IFERROR(INDEX(CATALOGOS!$H$3:$H$6,MATCH(C50,CATALOGOS!$G$3:$G$6,0)),"")</f>
        <v>Microciclo</v>
      </c>
      <c r="E50" t="str">
        <f>IFERROR(INDEX(CATALOGOS!$I$3:$I$6,MATCH(C50,CATALOGOS!$G$3:$G$6,0)),"")</f>
        <v>Mantener / perfeccionar</v>
      </c>
    </row>
    <row r="51" spans="1:5" x14ac:dyDescent="0.2">
      <c r="A51" t="s">
        <v>271</v>
      </c>
      <c r="B51" t="s">
        <v>294</v>
      </c>
      <c r="C51" t="str">
        <f>INDEX(NORMATIVOS!$C$27:$Z$27,1,MATCH($B$3,NORMATIVOS!$C$1:$Z$1,0))</f>
        <v>Proyección</v>
      </c>
      <c r="D51" t="str">
        <f>IFERROR(INDEX(CATALOGOS!$H$3:$H$6,MATCH(C51,CATALOGOS!$G$3:$G$6,0)),"")</f>
        <v>Macrociclo</v>
      </c>
      <c r="E51" t="str">
        <f>IFERROR(INDEX(CATALOGOS!$I$3:$I$6,MATCH(C51,CATALOGOS!$G$3:$G$6,0)),"")</f>
        <v>Iniciar / aprender</v>
      </c>
    </row>
    <row r="52" spans="1:5" x14ac:dyDescent="0.2">
      <c r="A52" t="s">
        <v>274</v>
      </c>
      <c r="B52" t="s">
        <v>31</v>
      </c>
      <c r="C52" t="str">
        <f>INDEX(NORMATIVOS!$C$28:$Z$28,1,MATCH($B$3,NORMATIVOS!$C$1:$Z$1,0))</f>
        <v>Consolidado</v>
      </c>
      <c r="D52" t="str">
        <f>IFERROR(INDEX(CATALOGOS!$H$3:$H$6,MATCH(C52,CATALOGOS!$G$3:$G$6,0)),"")</f>
        <v>Microciclo</v>
      </c>
      <c r="E52" t="str">
        <f>IFERROR(INDEX(CATALOGOS!$I$3:$I$6,MATCH(C52,CATALOGOS!$G$3:$G$6,0)),"")</f>
        <v>Mantener / perfeccionar</v>
      </c>
    </row>
    <row r="53" spans="1:5" x14ac:dyDescent="0.2">
      <c r="A53" t="s">
        <v>274</v>
      </c>
      <c r="B53" t="s">
        <v>32</v>
      </c>
      <c r="C53" t="str">
        <f>INDEX(NORMATIVOS!$C$29:$Z$29,1,MATCH($B$3,NORMATIVOS!$C$1:$Z$1,0))</f>
        <v>Consolidado</v>
      </c>
      <c r="D53" t="str">
        <f>IFERROR(INDEX(CATALOGOS!$H$3:$H$6,MATCH(C53,CATALOGOS!$G$3:$G$6,0)),"")</f>
        <v>Microciclo</v>
      </c>
      <c r="E53" t="str">
        <f>IFERROR(INDEX(CATALOGOS!$I$3:$I$6,MATCH(C53,CATALOGOS!$G$3:$G$6,0)),"")</f>
        <v>Mantener / perfeccionar</v>
      </c>
    </row>
    <row r="54" spans="1:5" x14ac:dyDescent="0.2">
      <c r="A54" t="s">
        <v>274</v>
      </c>
      <c r="B54" t="s">
        <v>33</v>
      </c>
      <c r="C54" t="str">
        <f>INDEX(NORMATIVOS!$C$30:$Z$30,1,MATCH($B$3,NORMATIVOS!$C$1:$Z$1,0))</f>
        <v>Consolidado</v>
      </c>
      <c r="D54" t="str">
        <f>IFERROR(INDEX(CATALOGOS!$H$3:$H$6,MATCH(C54,CATALOGOS!$G$3:$G$6,0)),"")</f>
        <v>Microciclo</v>
      </c>
      <c r="E54" t="str">
        <f>IFERROR(INDEX(CATALOGOS!$I$3:$I$6,MATCH(C54,CATALOGOS!$G$3:$G$6,0)),"")</f>
        <v>Mantener / perfeccionar</v>
      </c>
    </row>
    <row r="55" spans="1:5" x14ac:dyDescent="0.2">
      <c r="A55" t="s">
        <v>274</v>
      </c>
      <c r="B55" t="s">
        <v>34</v>
      </c>
      <c r="C55" t="str">
        <f>INDEX(NORMATIVOS!$C$31:$Z$31,1,MATCH($B$3,NORMATIVOS!$C$1:$Z$1,0))</f>
        <v>Consolidado</v>
      </c>
      <c r="D55" t="str">
        <f>IFERROR(INDEX(CATALOGOS!$H$3:$H$6,MATCH(C55,CATALOGOS!$G$3:$G$6,0)),"")</f>
        <v>Microciclo</v>
      </c>
      <c r="E55" t="str">
        <f>IFERROR(INDEX(CATALOGOS!$I$3:$I$6,MATCH(C55,CATALOGOS!$G$3:$G$6,0)),"")</f>
        <v>Mantener / perfeccionar</v>
      </c>
    </row>
    <row r="56" spans="1:5" x14ac:dyDescent="0.2">
      <c r="A56" t="s">
        <v>274</v>
      </c>
      <c r="B56" t="s">
        <v>35</v>
      </c>
      <c r="C56" t="str">
        <f>INDEX(NORMATIVOS!$C$32:$Z$32,1,MATCH($B$3,NORMATIVOS!$C$1:$Z$1,0))</f>
        <v>Consolidado</v>
      </c>
      <c r="D56" t="str">
        <f>IFERROR(INDEX(CATALOGOS!$H$3:$H$6,MATCH(C56,CATALOGOS!$G$3:$G$6,0)),"")</f>
        <v>Microciclo</v>
      </c>
      <c r="E56" t="str">
        <f>IFERROR(INDEX(CATALOGOS!$I$3:$I$6,MATCH(C56,CATALOGOS!$G$3:$G$6,0)),"")</f>
        <v>Mantener / perfeccionar</v>
      </c>
    </row>
    <row r="57" spans="1:5" x14ac:dyDescent="0.2">
      <c r="A57" t="s">
        <v>274</v>
      </c>
      <c r="B57" t="s">
        <v>36</v>
      </c>
      <c r="C57" t="str">
        <f>INDEX(NORMATIVOS!$C$33:$Z$33,1,MATCH($B$3,NORMATIVOS!$C$1:$Z$1,0))</f>
        <v>En proceso</v>
      </c>
      <c r="D57" t="str">
        <f>IFERROR(INDEX(CATALOGOS!$H$3:$H$6,MATCH(C57,CATALOGOS!$G$3:$G$6,0)),"")</f>
        <v>Mesociclo</v>
      </c>
      <c r="E57" t="str">
        <f>IFERROR(INDEX(CATALOGOS!$I$3:$I$6,MATCH(C57,CATALOGOS!$G$3:$G$6,0)),"")</f>
        <v>Desarrollar / consolidar</v>
      </c>
    </row>
    <row r="58" spans="1:5" x14ac:dyDescent="0.2">
      <c r="A58" t="s">
        <v>274</v>
      </c>
      <c r="B58" t="s">
        <v>37</v>
      </c>
      <c r="C58" t="str">
        <f>INDEX(NORMATIVOS!$C$34:$Z$34,1,MATCH($B$3,NORMATIVOS!$C$1:$Z$1,0))</f>
        <v>En proceso</v>
      </c>
      <c r="D58" t="str">
        <f>IFERROR(INDEX(CATALOGOS!$H$3:$H$6,MATCH(C58,CATALOGOS!$G$3:$G$6,0)),"")</f>
        <v>Mesociclo</v>
      </c>
      <c r="E58" t="str">
        <f>IFERROR(INDEX(CATALOGOS!$I$3:$I$6,MATCH(C58,CATALOGOS!$G$3:$G$6,0)),"")</f>
        <v>Desarrollar / consolidar</v>
      </c>
    </row>
    <row r="59" spans="1:5" x14ac:dyDescent="0.2">
      <c r="A59" t="s">
        <v>274</v>
      </c>
      <c r="B59" t="s">
        <v>38</v>
      </c>
      <c r="C59" t="str">
        <f>INDEX(NORMATIVOS!$C$35:$Z$35,1,MATCH($B$3,NORMATIVOS!$C$1:$Z$1,0))</f>
        <v>En proceso</v>
      </c>
      <c r="D59" t="str">
        <f>IFERROR(INDEX(CATALOGOS!$H$3:$H$6,MATCH(C59,CATALOGOS!$G$3:$G$6,0)),"")</f>
        <v>Mesociclo</v>
      </c>
      <c r="E59" t="str">
        <f>IFERROR(INDEX(CATALOGOS!$I$3:$I$6,MATCH(C59,CATALOGOS!$G$3:$G$6,0)),"")</f>
        <v>Desarrollar / consolidar</v>
      </c>
    </row>
    <row r="60" spans="1:5" x14ac:dyDescent="0.2">
      <c r="A60" t="s">
        <v>274</v>
      </c>
      <c r="B60" t="s">
        <v>39</v>
      </c>
      <c r="C60" t="str">
        <f>INDEX(NORMATIVOS!$C$36:$Z$36,1,MATCH($B$3,NORMATIVOS!$C$1:$Z$1,0))</f>
        <v>En proceso</v>
      </c>
      <c r="D60" t="str">
        <f>IFERROR(INDEX(CATALOGOS!$H$3:$H$6,MATCH(C60,CATALOGOS!$G$3:$G$6,0)),"")</f>
        <v>Mesociclo</v>
      </c>
      <c r="E60" t="str">
        <f>IFERROR(INDEX(CATALOGOS!$I$3:$I$6,MATCH(C60,CATALOGOS!$G$3:$G$6,0)),"")</f>
        <v>Desarrollar / consolidar</v>
      </c>
    </row>
    <row r="61" spans="1:5" x14ac:dyDescent="0.2">
      <c r="A61" t="s">
        <v>274</v>
      </c>
      <c r="B61" t="s">
        <v>40</v>
      </c>
      <c r="C61" t="str">
        <f>INDEX(NORMATIVOS!$C$37:$Z$37,1,MATCH($B$3,NORMATIVOS!$C$1:$Z$1,0))</f>
        <v>Proyección</v>
      </c>
      <c r="D61" t="str">
        <f>IFERROR(INDEX(CATALOGOS!$H$3:$H$6,MATCH(C61,CATALOGOS!$G$3:$G$6,0)),"")</f>
        <v>Macrociclo</v>
      </c>
      <c r="E61" t="str">
        <f>IFERROR(INDEX(CATALOGOS!$I$3:$I$6,MATCH(C61,CATALOGOS!$G$3:$G$6,0)),"")</f>
        <v>Iniciar / aprender</v>
      </c>
    </row>
    <row r="62" spans="1:5" x14ac:dyDescent="0.2">
      <c r="A62" t="s">
        <v>276</v>
      </c>
      <c r="B62" t="s">
        <v>42</v>
      </c>
      <c r="C62" t="str">
        <f>INDEX(NORMATIVOS!$C$38:$Z$38,1,MATCH($B$3,NORMATIVOS!$C$1:$Z$1,0))</f>
        <v>En proceso</v>
      </c>
      <c r="D62" t="str">
        <f>IFERROR(INDEX(CATALOGOS!$H$3:$H$6,MATCH(C62,CATALOGOS!$G$3:$G$6,0)),"")</f>
        <v>Mesociclo</v>
      </c>
      <c r="E62" t="str">
        <f>IFERROR(INDEX(CATALOGOS!$I$3:$I$6,MATCH(C62,CATALOGOS!$G$3:$G$6,0)),"")</f>
        <v>Desarrollar / consolidar</v>
      </c>
    </row>
    <row r="63" spans="1:5" x14ac:dyDescent="0.2">
      <c r="A63" t="s">
        <v>276</v>
      </c>
      <c r="B63" t="s">
        <v>43</v>
      </c>
      <c r="C63" t="str">
        <f>INDEX(NORMATIVOS!$C$39:$Z$39,1,MATCH($B$3,NORMATIVOS!$C$1:$Z$1,0))</f>
        <v>En proceso</v>
      </c>
      <c r="D63" t="str">
        <f>IFERROR(INDEX(CATALOGOS!$H$3:$H$6,MATCH(C63,CATALOGOS!$G$3:$G$6,0)),"")</f>
        <v>Mesociclo</v>
      </c>
      <c r="E63" t="str">
        <f>IFERROR(INDEX(CATALOGOS!$I$3:$I$6,MATCH(C63,CATALOGOS!$G$3:$G$6,0)),"")</f>
        <v>Desarrollar / consolidar</v>
      </c>
    </row>
    <row r="64" spans="1:5" x14ac:dyDescent="0.2">
      <c r="A64" t="s">
        <v>276</v>
      </c>
      <c r="B64" t="s">
        <v>44</v>
      </c>
      <c r="C64" t="str">
        <f>INDEX(NORMATIVOS!$C$40:$Z$40,1,MATCH($B$3,NORMATIVOS!$C$1:$Z$1,0))</f>
        <v>En proceso</v>
      </c>
      <c r="D64" t="str">
        <f>IFERROR(INDEX(CATALOGOS!$H$3:$H$6,MATCH(C64,CATALOGOS!$G$3:$G$6,0)),"")</f>
        <v>Mesociclo</v>
      </c>
      <c r="E64" t="str">
        <f>IFERROR(INDEX(CATALOGOS!$I$3:$I$6,MATCH(C64,CATALOGOS!$G$3:$G$6,0)),"")</f>
        <v>Desarrollar / consolidar</v>
      </c>
    </row>
    <row r="65" spans="1:5" x14ac:dyDescent="0.2">
      <c r="A65" t="s">
        <v>276</v>
      </c>
      <c r="B65" t="s">
        <v>45</v>
      </c>
      <c r="C65" t="str">
        <f>INDEX(NORMATIVOS!$C$41:$Z$41,1,MATCH($B$3,NORMATIVOS!$C$1:$Z$1,0))</f>
        <v>En proceso</v>
      </c>
      <c r="D65" t="str">
        <f>IFERROR(INDEX(CATALOGOS!$H$3:$H$6,MATCH(C65,CATALOGOS!$G$3:$G$6,0)),"")</f>
        <v>Mesociclo</v>
      </c>
      <c r="E65" t="str">
        <f>IFERROR(INDEX(CATALOGOS!$I$3:$I$6,MATCH(C65,CATALOGOS!$G$3:$G$6,0)),"")</f>
        <v>Desarrollar / consolidar</v>
      </c>
    </row>
    <row r="66" spans="1:5" x14ac:dyDescent="0.2">
      <c r="A66" t="s">
        <v>276</v>
      </c>
      <c r="B66" t="s">
        <v>46</v>
      </c>
      <c r="C66" t="str">
        <f>INDEX(NORMATIVOS!$C$42:$Z$42,1,MATCH($B$3,NORMATIVOS!$C$1:$Z$1,0))</f>
        <v>N/A</v>
      </c>
      <c r="D66" t="str">
        <f>IFERROR(INDEX(CATALOGOS!$H$3:$H$6,MATCH(C66,CATALOGOS!$G$3:$G$6,0)),"")</f>
        <v>No aplica</v>
      </c>
      <c r="E66" t="str">
        <f>IFERROR(INDEX(CATALOGOS!$I$3:$I$6,MATCH(C66,CATALOGOS!$G$3:$G$6,0)),"")</f>
        <v>Sin carga</v>
      </c>
    </row>
    <row r="67" spans="1:5" x14ac:dyDescent="0.2">
      <c r="A67" t="s">
        <v>276</v>
      </c>
      <c r="B67" t="s">
        <v>47</v>
      </c>
      <c r="C67" t="str">
        <f>INDEX(NORMATIVOS!$C$43:$Z$43,1,MATCH($B$3,NORMATIVOS!$C$1:$Z$1,0))</f>
        <v>En proceso</v>
      </c>
      <c r="D67" t="str">
        <f>IFERROR(INDEX(CATALOGOS!$H$3:$H$6,MATCH(C67,CATALOGOS!$G$3:$G$6,0)),"")</f>
        <v>Mesociclo</v>
      </c>
      <c r="E67" t="str">
        <f>IFERROR(INDEX(CATALOGOS!$I$3:$I$6,MATCH(C67,CATALOGOS!$G$3:$G$6,0)),"")</f>
        <v>Desarrollar / consolidar</v>
      </c>
    </row>
    <row r="68" spans="1:5" x14ac:dyDescent="0.2">
      <c r="A68" t="s">
        <v>276</v>
      </c>
      <c r="B68" t="s">
        <v>48</v>
      </c>
      <c r="C68" t="str">
        <f>INDEX(NORMATIVOS!$C$44:$Z$44,1,MATCH($B$3,NORMATIVOS!$C$1:$Z$1,0))</f>
        <v>En proceso</v>
      </c>
      <c r="D68" t="str">
        <f>IFERROR(INDEX(CATALOGOS!$H$3:$H$6,MATCH(C68,CATALOGOS!$G$3:$G$6,0)),"")</f>
        <v>Mesociclo</v>
      </c>
      <c r="E68" t="str">
        <f>IFERROR(INDEX(CATALOGOS!$I$3:$I$6,MATCH(C68,CATALOGOS!$G$3:$G$6,0)),"")</f>
        <v>Desarrollar / consolidar</v>
      </c>
    </row>
    <row r="69" spans="1:5" x14ac:dyDescent="0.2">
      <c r="A69" t="s">
        <v>276</v>
      </c>
      <c r="B69" t="s">
        <v>49</v>
      </c>
      <c r="C69" t="str">
        <f>INDEX(NORMATIVOS!$C$45:$Z$45,1,MATCH($B$3,NORMATIVOS!$C$1:$Z$1,0))</f>
        <v>N/A</v>
      </c>
      <c r="D69" t="str">
        <f>IFERROR(INDEX(CATALOGOS!$H$3:$H$6,MATCH(C69,CATALOGOS!$G$3:$G$6,0)),"")</f>
        <v>No aplica</v>
      </c>
      <c r="E69" t="str">
        <f>IFERROR(INDEX(CATALOGOS!$I$3:$I$6,MATCH(C69,CATALOGOS!$G$3:$G$6,0)),"")</f>
        <v>Sin carga</v>
      </c>
    </row>
    <row r="70" spans="1:5" x14ac:dyDescent="0.2">
      <c r="A70" t="s">
        <v>276</v>
      </c>
      <c r="B70" t="s">
        <v>50</v>
      </c>
      <c r="C70" t="str">
        <f>INDEX(NORMATIVOS!$C$46:$Z$46,1,MATCH($B$3,NORMATIVOS!$C$1:$Z$1,0))</f>
        <v>En proceso</v>
      </c>
      <c r="D70" t="str">
        <f>IFERROR(INDEX(CATALOGOS!$H$3:$H$6,MATCH(C70,CATALOGOS!$G$3:$G$6,0)),"")</f>
        <v>Mesociclo</v>
      </c>
      <c r="E70" t="str">
        <f>IFERROR(INDEX(CATALOGOS!$I$3:$I$6,MATCH(C70,CATALOGOS!$G$3:$G$6,0)),"")</f>
        <v>Desarrollar / consolidar</v>
      </c>
    </row>
    <row r="71" spans="1:5" x14ac:dyDescent="0.2">
      <c r="A71" t="s">
        <v>52</v>
      </c>
      <c r="B71" t="s">
        <v>53</v>
      </c>
      <c r="C71" t="str">
        <f>INDEX(NORMATIVOS!$C$49:$Z$49,1,MATCH($B$3,NORMATIVOS!$C$1:$Z$1,0))</f>
        <v>Consolidado</v>
      </c>
      <c r="D71" t="str">
        <f>IFERROR(INDEX(CATALOGOS!$H$3:$H$6,MATCH(C71,CATALOGOS!$G$3:$G$6,0)),"")</f>
        <v>Microciclo</v>
      </c>
      <c r="E71" t="str">
        <f>IFERROR(INDEX(CATALOGOS!$I$3:$I$6,MATCH(C71,CATALOGOS!$G$3:$G$6,0)),"")</f>
        <v>Mantener / perfeccionar</v>
      </c>
    </row>
    <row r="72" spans="1:5" x14ac:dyDescent="0.2">
      <c r="A72" t="s">
        <v>52</v>
      </c>
      <c r="B72" t="s">
        <v>54</v>
      </c>
      <c r="C72" t="str">
        <f>INDEX(NORMATIVOS!$C$50:$Z$50,1,MATCH($B$3,NORMATIVOS!$C$1:$Z$1,0))</f>
        <v>Consolidado</v>
      </c>
      <c r="D72" t="str">
        <f>IFERROR(INDEX(CATALOGOS!$H$3:$H$6,MATCH(C72,CATALOGOS!$G$3:$G$6,0)),"")</f>
        <v>Microciclo</v>
      </c>
      <c r="E72" t="str">
        <f>IFERROR(INDEX(CATALOGOS!$I$3:$I$6,MATCH(C72,CATALOGOS!$G$3:$G$6,0)),"")</f>
        <v>Mantener / perfeccionar</v>
      </c>
    </row>
    <row r="73" spans="1:5" x14ac:dyDescent="0.2">
      <c r="A73" t="s">
        <v>52</v>
      </c>
      <c r="B73" t="s">
        <v>55</v>
      </c>
      <c r="C73" t="str">
        <f>INDEX(NORMATIVOS!$C$51:$Z$51,1,MATCH($B$3,NORMATIVOS!$C$1:$Z$1,0))</f>
        <v>Consolidado</v>
      </c>
      <c r="D73" t="str">
        <f>IFERROR(INDEX(CATALOGOS!$H$3:$H$6,MATCH(C73,CATALOGOS!$G$3:$G$6,0)),"")</f>
        <v>Microciclo</v>
      </c>
      <c r="E73" t="str">
        <f>IFERROR(INDEX(CATALOGOS!$I$3:$I$6,MATCH(C73,CATALOGOS!$G$3:$G$6,0)),"")</f>
        <v>Mantener / perfeccionar</v>
      </c>
    </row>
    <row r="74" spans="1:5" x14ac:dyDescent="0.2">
      <c r="A74" t="s">
        <v>52</v>
      </c>
      <c r="B74" t="s">
        <v>56</v>
      </c>
      <c r="C74" t="str">
        <f>INDEX(NORMATIVOS!$C$52:$Z$52,1,MATCH($B$3,NORMATIVOS!$C$1:$Z$1,0))</f>
        <v>Consolidado</v>
      </c>
      <c r="D74" t="str">
        <f>IFERROR(INDEX(CATALOGOS!$H$3:$H$6,MATCH(C74,CATALOGOS!$G$3:$G$6,0)),"")</f>
        <v>Microciclo</v>
      </c>
      <c r="E74" t="str">
        <f>IFERROR(INDEX(CATALOGOS!$I$3:$I$6,MATCH(C74,CATALOGOS!$G$3:$G$6,0)),"")</f>
        <v>Mantener / perfeccionar</v>
      </c>
    </row>
    <row r="75" spans="1:5" x14ac:dyDescent="0.2">
      <c r="A75" t="s">
        <v>52</v>
      </c>
      <c r="B75" t="s">
        <v>57</v>
      </c>
      <c r="C75" t="str">
        <f>INDEX(NORMATIVOS!$C$53:$Z$53,1,MATCH($B$3,NORMATIVOS!$C$1:$Z$1,0))</f>
        <v>Consolidado</v>
      </c>
      <c r="D75" t="str">
        <f>IFERROR(INDEX(CATALOGOS!$H$3:$H$6,MATCH(C75,CATALOGOS!$G$3:$G$6,0)),"")</f>
        <v>Microciclo</v>
      </c>
      <c r="E75" t="str">
        <f>IFERROR(INDEX(CATALOGOS!$I$3:$I$6,MATCH(C75,CATALOGOS!$G$3:$G$6,0)),"")</f>
        <v>Mantener / perfeccionar</v>
      </c>
    </row>
    <row r="76" spans="1:5" x14ac:dyDescent="0.2">
      <c r="A76" t="s">
        <v>52</v>
      </c>
      <c r="B76" t="s">
        <v>58</v>
      </c>
      <c r="C76" t="str">
        <f>INDEX(NORMATIVOS!$C$54:$Z$54,1,MATCH($B$3,NORMATIVOS!$C$1:$Z$1,0))</f>
        <v>Consolidado</v>
      </c>
      <c r="D76" t="str">
        <f>IFERROR(INDEX(CATALOGOS!$H$3:$H$6,MATCH(C76,CATALOGOS!$G$3:$G$6,0)),"")</f>
        <v>Microciclo</v>
      </c>
      <c r="E76" t="str">
        <f>IFERROR(INDEX(CATALOGOS!$I$3:$I$6,MATCH(C76,CATALOGOS!$G$3:$G$6,0)),"")</f>
        <v>Mantener / perfeccionar</v>
      </c>
    </row>
    <row r="77" spans="1:5" x14ac:dyDescent="0.2">
      <c r="A77" t="s">
        <v>52</v>
      </c>
      <c r="B77" t="s">
        <v>59</v>
      </c>
      <c r="C77" t="str">
        <f>INDEX(NORMATIVOS!$C$55:$Z$55,1,MATCH($B$3,NORMATIVOS!$C$1:$Z$1,0))</f>
        <v>Consolidado</v>
      </c>
      <c r="D77" t="str">
        <f>IFERROR(INDEX(CATALOGOS!$H$3:$H$6,MATCH(C77,CATALOGOS!$G$3:$G$6,0)),"")</f>
        <v>Microciclo</v>
      </c>
      <c r="E77" t="str">
        <f>IFERROR(INDEX(CATALOGOS!$I$3:$I$6,MATCH(C77,CATALOGOS!$G$3:$G$6,0)),"")</f>
        <v>Mantener / perfeccionar</v>
      </c>
    </row>
    <row r="78" spans="1:5" x14ac:dyDescent="0.2">
      <c r="A78" t="s">
        <v>52</v>
      </c>
      <c r="B78" t="s">
        <v>60</v>
      </c>
      <c r="C78" t="str">
        <f>INDEX(NORMATIVOS!$C$56:$Z$56,1,MATCH($B$3,NORMATIVOS!$C$1:$Z$1,0))</f>
        <v>Consolidado</v>
      </c>
      <c r="D78" t="str">
        <f>IFERROR(INDEX(CATALOGOS!$H$3:$H$6,MATCH(C78,CATALOGOS!$G$3:$G$6,0)),"")</f>
        <v>Microciclo</v>
      </c>
      <c r="E78" t="str">
        <f>IFERROR(INDEX(CATALOGOS!$I$3:$I$6,MATCH(C78,CATALOGOS!$G$3:$G$6,0)),"")</f>
        <v>Mantener / perfeccionar</v>
      </c>
    </row>
    <row r="79" spans="1:5" x14ac:dyDescent="0.2">
      <c r="A79" t="s">
        <v>52</v>
      </c>
      <c r="B79" t="s">
        <v>61</v>
      </c>
      <c r="C79" t="str">
        <f>INDEX(NORMATIVOS!$C$57:$Z$57,1,MATCH($B$3,NORMATIVOS!$C$1:$Z$1,0))</f>
        <v>Consolidado</v>
      </c>
      <c r="D79" t="str">
        <f>IFERROR(INDEX(CATALOGOS!$H$3:$H$6,MATCH(C79,CATALOGOS!$G$3:$G$6,0)),"")</f>
        <v>Microciclo</v>
      </c>
      <c r="E79" t="str">
        <f>IFERROR(INDEX(CATALOGOS!$I$3:$I$6,MATCH(C79,CATALOGOS!$G$3:$G$6,0)),"")</f>
        <v>Mantener / perfeccionar</v>
      </c>
    </row>
    <row r="80" spans="1:5" x14ac:dyDescent="0.2">
      <c r="A80" t="s">
        <v>52</v>
      </c>
      <c r="B80" t="s">
        <v>62</v>
      </c>
      <c r="C80" t="str">
        <f>INDEX(NORMATIVOS!$C$58:$Z$58,1,MATCH($B$3,NORMATIVOS!$C$1:$Z$1,0))</f>
        <v>Proyección</v>
      </c>
      <c r="D80" t="str">
        <f>IFERROR(INDEX(CATALOGOS!$H$3:$H$6,MATCH(C80,CATALOGOS!$G$3:$G$6,0)),"")</f>
        <v>Macrociclo</v>
      </c>
      <c r="E80" t="str">
        <f>IFERROR(INDEX(CATALOGOS!$I$3:$I$6,MATCH(C80,CATALOGOS!$G$3:$G$6,0)),"")</f>
        <v>Iniciar / aprender</v>
      </c>
    </row>
    <row r="81" spans="1:5" x14ac:dyDescent="0.2">
      <c r="A81" t="s">
        <v>52</v>
      </c>
      <c r="B81" t="s">
        <v>63</v>
      </c>
      <c r="C81" t="str">
        <f>INDEX(NORMATIVOS!$C$59:$Z$59,1,MATCH($B$3,NORMATIVOS!$C$1:$Z$1,0))</f>
        <v>Consolidado</v>
      </c>
      <c r="D81" t="str">
        <f>IFERROR(INDEX(CATALOGOS!$H$3:$H$6,MATCH(C81,CATALOGOS!$G$3:$G$6,0)),"")</f>
        <v>Microciclo</v>
      </c>
      <c r="E81" t="str">
        <f>IFERROR(INDEX(CATALOGOS!$I$3:$I$6,MATCH(C81,CATALOGOS!$G$3:$G$6,0)),"")</f>
        <v>Mantener / perfeccionar</v>
      </c>
    </row>
    <row r="82" spans="1:5" x14ac:dyDescent="0.2">
      <c r="A82" t="s">
        <v>52</v>
      </c>
      <c r="B82" t="s">
        <v>64</v>
      </c>
      <c r="C82" t="str">
        <f>INDEX(NORMATIVOS!$C$60:$Z$60,1,MATCH($B$3,NORMATIVOS!$C$1:$Z$1,0))</f>
        <v>En proceso</v>
      </c>
      <c r="D82" t="str">
        <f>IFERROR(INDEX(CATALOGOS!$H$3:$H$6,MATCH(C82,CATALOGOS!$G$3:$G$6,0)),"")</f>
        <v>Mesociclo</v>
      </c>
      <c r="E82" t="str">
        <f>IFERROR(INDEX(CATALOGOS!$I$3:$I$6,MATCH(C82,CATALOGOS!$G$3:$G$6,0)),"")</f>
        <v>Desarrollar / consolidar</v>
      </c>
    </row>
    <row r="83" spans="1:5" x14ac:dyDescent="0.2">
      <c r="A83" t="s">
        <v>52</v>
      </c>
      <c r="B83" t="s">
        <v>65</v>
      </c>
      <c r="C83" t="str">
        <f>INDEX(NORMATIVOS!$C$61:$Z$61,1,MATCH($B$3,NORMATIVOS!$C$1:$Z$1,0))</f>
        <v>Consolidado</v>
      </c>
      <c r="D83" t="str">
        <f>IFERROR(INDEX(CATALOGOS!$H$3:$H$6,MATCH(C83,CATALOGOS!$G$3:$G$6,0)),"")</f>
        <v>Microciclo</v>
      </c>
      <c r="E83" t="str">
        <f>IFERROR(INDEX(CATALOGOS!$I$3:$I$6,MATCH(C83,CATALOGOS!$G$3:$G$6,0)),"")</f>
        <v>Mantener / perfeccionar</v>
      </c>
    </row>
    <row r="84" spans="1:5" x14ac:dyDescent="0.2">
      <c r="A84" t="s">
        <v>52</v>
      </c>
      <c r="B84" t="s">
        <v>295</v>
      </c>
      <c r="C84" t="str">
        <f>INDEX(NORMATIVOS!$C$62:$Z$62,1,MATCH($B$3,NORMATIVOS!$C$1:$Z$1,0))</f>
        <v>Consolidado</v>
      </c>
      <c r="D84" t="str">
        <f>IFERROR(INDEX(CATALOGOS!$H$3:$H$6,MATCH(C84,CATALOGOS!$G$3:$G$6,0)),"")</f>
        <v>Microciclo</v>
      </c>
      <c r="E84" t="str">
        <f>IFERROR(INDEX(CATALOGOS!$I$3:$I$6,MATCH(C84,CATALOGOS!$G$3:$G$6,0)),"")</f>
        <v>Mantener / perfeccionar</v>
      </c>
    </row>
    <row r="85" spans="1:5" x14ac:dyDescent="0.2">
      <c r="A85" t="s">
        <v>52</v>
      </c>
      <c r="B85" t="s">
        <v>67</v>
      </c>
      <c r="C85" t="str">
        <f>INDEX(NORMATIVOS!$C$63:$Z$63,1,MATCH($B$3,NORMATIVOS!$C$1:$Z$1,0))</f>
        <v>Consolidado</v>
      </c>
      <c r="D85" t="str">
        <f>IFERROR(INDEX(CATALOGOS!$H$3:$H$6,MATCH(C85,CATALOGOS!$G$3:$G$6,0)),"")</f>
        <v>Microciclo</v>
      </c>
      <c r="E85" t="str">
        <f>IFERROR(INDEX(CATALOGOS!$I$3:$I$6,MATCH(C85,CATALOGOS!$G$3:$G$6,0)),"")</f>
        <v>Mantener / perfeccionar</v>
      </c>
    </row>
    <row r="86" spans="1:5" x14ac:dyDescent="0.2">
      <c r="A86" t="s">
        <v>52</v>
      </c>
      <c r="B86" t="s">
        <v>68</v>
      </c>
      <c r="C86" t="str">
        <f>INDEX(NORMATIVOS!$C$64:$Z$64,1,MATCH($B$3,NORMATIVOS!$C$1:$Z$1,0))</f>
        <v>Proyección</v>
      </c>
      <c r="D86" t="str">
        <f>IFERROR(INDEX(CATALOGOS!$H$3:$H$6,MATCH(C86,CATALOGOS!$G$3:$G$6,0)),"")</f>
        <v>Macrociclo</v>
      </c>
      <c r="E86" t="str">
        <f>IFERROR(INDEX(CATALOGOS!$I$3:$I$6,MATCH(C86,CATALOGOS!$G$3:$G$6,0)),"")</f>
        <v>Iniciar / aprender</v>
      </c>
    </row>
    <row r="87" spans="1:5" x14ac:dyDescent="0.2">
      <c r="A87" t="s">
        <v>69</v>
      </c>
      <c r="B87" t="s">
        <v>70</v>
      </c>
      <c r="C87" t="str">
        <f>INDEX(NORMATIVOS!$C$65:$Z$65,1,MATCH($B$3,NORMATIVOS!$C$1:$Z$1,0))</f>
        <v>Consolidado</v>
      </c>
      <c r="D87" t="str">
        <f>IFERROR(INDEX(CATALOGOS!$H$3:$H$6,MATCH(C87,CATALOGOS!$G$3:$G$6,0)),"")</f>
        <v>Microciclo</v>
      </c>
      <c r="E87" t="str">
        <f>IFERROR(INDEX(CATALOGOS!$I$3:$I$6,MATCH(C87,CATALOGOS!$G$3:$G$6,0)),"")</f>
        <v>Mantener / perfeccionar</v>
      </c>
    </row>
    <row r="88" spans="1:5" x14ac:dyDescent="0.2">
      <c r="A88" t="s">
        <v>69</v>
      </c>
      <c r="B88" t="s">
        <v>71</v>
      </c>
      <c r="C88" t="str">
        <f>INDEX(NORMATIVOS!$C$66:$Z$66,1,MATCH($B$3,NORMATIVOS!$C$1:$Z$1,0))</f>
        <v>Consolidado</v>
      </c>
      <c r="D88" t="str">
        <f>IFERROR(INDEX(CATALOGOS!$H$3:$H$6,MATCH(C88,CATALOGOS!$G$3:$G$6,0)),"")</f>
        <v>Microciclo</v>
      </c>
      <c r="E88" t="str">
        <f>IFERROR(INDEX(CATALOGOS!$I$3:$I$6,MATCH(C88,CATALOGOS!$G$3:$G$6,0)),"")</f>
        <v>Mantener / perfeccionar</v>
      </c>
    </row>
    <row r="89" spans="1:5" x14ac:dyDescent="0.2">
      <c r="A89" t="s">
        <v>69</v>
      </c>
      <c r="B89" t="s">
        <v>64</v>
      </c>
      <c r="C89" t="str">
        <f>INDEX(NORMATIVOS!$C$67:$Z$67,1,MATCH($B$3,NORMATIVOS!$C$1:$Z$1,0))</f>
        <v>Consolidado</v>
      </c>
      <c r="D89" t="str">
        <f>IFERROR(INDEX(CATALOGOS!$H$3:$H$6,MATCH(C89,CATALOGOS!$G$3:$G$6,0)),"")</f>
        <v>Microciclo</v>
      </c>
      <c r="E89" t="str">
        <f>IFERROR(INDEX(CATALOGOS!$I$3:$I$6,MATCH(C89,CATALOGOS!$G$3:$G$6,0)),"")</f>
        <v>Mantener / perfeccionar</v>
      </c>
    </row>
    <row r="90" spans="1:5" x14ac:dyDescent="0.2">
      <c r="A90" t="s">
        <v>69</v>
      </c>
      <c r="B90" t="s">
        <v>72</v>
      </c>
      <c r="C90" t="str">
        <f>INDEX(NORMATIVOS!$C$68:$Z$68,1,MATCH($B$3,NORMATIVOS!$C$1:$Z$1,0))</f>
        <v>Consolidado</v>
      </c>
      <c r="D90" t="str">
        <f>IFERROR(INDEX(CATALOGOS!$H$3:$H$6,MATCH(C90,CATALOGOS!$G$3:$G$6,0)),"")</f>
        <v>Microciclo</v>
      </c>
      <c r="E90" t="str">
        <f>IFERROR(INDEX(CATALOGOS!$I$3:$I$6,MATCH(C90,CATALOGOS!$G$3:$G$6,0)),"")</f>
        <v>Mantener / perfeccionar</v>
      </c>
    </row>
    <row r="91" spans="1:5" x14ac:dyDescent="0.2">
      <c r="A91" t="s">
        <v>69</v>
      </c>
      <c r="B91" t="s">
        <v>73</v>
      </c>
      <c r="C91" t="str">
        <f>INDEX(NORMATIVOS!$C$69:$Z$69,1,MATCH($B$3,NORMATIVOS!$C$1:$Z$1,0))</f>
        <v>Consolidado</v>
      </c>
      <c r="D91" t="str">
        <f>IFERROR(INDEX(CATALOGOS!$H$3:$H$6,MATCH(C91,CATALOGOS!$G$3:$G$6,0)),"")</f>
        <v>Microciclo</v>
      </c>
      <c r="E91" t="str">
        <f>IFERROR(INDEX(CATALOGOS!$I$3:$I$6,MATCH(C91,CATALOGOS!$G$3:$G$6,0)),"")</f>
        <v>Mantener / perfeccionar</v>
      </c>
    </row>
    <row r="92" spans="1:5" x14ac:dyDescent="0.2">
      <c r="A92" t="s">
        <v>69</v>
      </c>
      <c r="B92" t="s">
        <v>62</v>
      </c>
      <c r="C92" t="str">
        <f>INDEX(NORMATIVOS!$C$70:$Z$70,1,MATCH($B$3,NORMATIVOS!$C$1:$Z$1,0))</f>
        <v>Consolidado</v>
      </c>
      <c r="D92" t="str">
        <f>IFERROR(INDEX(CATALOGOS!$H$3:$H$6,MATCH(C92,CATALOGOS!$G$3:$G$6,0)),"")</f>
        <v>Microciclo</v>
      </c>
      <c r="E92" t="str">
        <f>IFERROR(INDEX(CATALOGOS!$I$3:$I$6,MATCH(C92,CATALOGOS!$G$3:$G$6,0)),"")</f>
        <v>Mantener / perfeccionar</v>
      </c>
    </row>
    <row r="93" spans="1:5" x14ac:dyDescent="0.2">
      <c r="A93" t="s">
        <v>69</v>
      </c>
      <c r="B93" t="s">
        <v>65</v>
      </c>
      <c r="C93" t="str">
        <f>INDEX(NORMATIVOS!$C$71:$Z$71,1,MATCH($B$3,NORMATIVOS!$C$1:$Z$1,0))</f>
        <v>Consolidado</v>
      </c>
      <c r="D93" t="str">
        <f>IFERROR(INDEX(CATALOGOS!$H$3:$H$6,MATCH(C93,CATALOGOS!$G$3:$G$6,0)),"")</f>
        <v>Microciclo</v>
      </c>
      <c r="E93" t="str">
        <f>IFERROR(INDEX(CATALOGOS!$I$3:$I$6,MATCH(C93,CATALOGOS!$G$3:$G$6,0)),"")</f>
        <v>Mantener / perfeccionar</v>
      </c>
    </row>
    <row r="94" spans="1:5" x14ac:dyDescent="0.2">
      <c r="A94" t="s">
        <v>69</v>
      </c>
      <c r="B94" t="s">
        <v>295</v>
      </c>
      <c r="C94" t="str">
        <f>INDEX(NORMATIVOS!$C$72:$Z$72,1,MATCH($B$3,NORMATIVOS!$C$1:$Z$1,0))</f>
        <v>En proceso</v>
      </c>
      <c r="D94" t="str">
        <f>IFERROR(INDEX(CATALOGOS!$H$3:$H$6,MATCH(C94,CATALOGOS!$G$3:$G$6,0)),"")</f>
        <v>Mesociclo</v>
      </c>
      <c r="E94" t="str">
        <f>IFERROR(INDEX(CATALOGOS!$I$3:$I$6,MATCH(C94,CATALOGOS!$G$3:$G$6,0)),"")</f>
        <v>Desarrollar / consolidar</v>
      </c>
    </row>
    <row r="95" spans="1:5" x14ac:dyDescent="0.2">
      <c r="A95" t="s">
        <v>69</v>
      </c>
      <c r="B95" t="s">
        <v>74</v>
      </c>
      <c r="C95" t="str">
        <f>INDEX(NORMATIVOS!$C$73:$Z$73,1,MATCH($B$3,NORMATIVOS!$C$1:$Z$1,0))</f>
        <v>En proceso</v>
      </c>
      <c r="D95" t="str">
        <f>IFERROR(INDEX(CATALOGOS!$H$3:$H$6,MATCH(C95,CATALOGOS!$G$3:$G$6,0)),"")</f>
        <v>Mesociclo</v>
      </c>
      <c r="E95" t="str">
        <f>IFERROR(INDEX(CATALOGOS!$I$3:$I$6,MATCH(C95,CATALOGOS!$G$3:$G$6,0)),"")</f>
        <v>Desarrollar / consolidar</v>
      </c>
    </row>
    <row r="96" spans="1:5" x14ac:dyDescent="0.2">
      <c r="A96" t="s">
        <v>69</v>
      </c>
      <c r="B96" t="s">
        <v>75</v>
      </c>
      <c r="C96" t="str">
        <f>INDEX(NORMATIVOS!$C$74:$Z$74,1,MATCH($B$3,NORMATIVOS!$C$1:$Z$1,0))</f>
        <v>En proceso</v>
      </c>
      <c r="D96" t="str">
        <f>IFERROR(INDEX(CATALOGOS!$H$3:$H$6,MATCH(C96,CATALOGOS!$G$3:$G$6,0)),"")</f>
        <v>Mesociclo</v>
      </c>
      <c r="E96" t="str">
        <f>IFERROR(INDEX(CATALOGOS!$I$3:$I$6,MATCH(C96,CATALOGOS!$G$3:$G$6,0)),"")</f>
        <v>Desarrollar / consolidar</v>
      </c>
    </row>
    <row r="97" spans="1:5" x14ac:dyDescent="0.2">
      <c r="A97" t="s">
        <v>69</v>
      </c>
      <c r="B97" t="s">
        <v>68</v>
      </c>
      <c r="C97" t="str">
        <f>INDEX(NORMATIVOS!$C$75:$Z$75,1,MATCH($B$3,NORMATIVOS!$C$1:$Z$1,0))</f>
        <v>En proceso</v>
      </c>
      <c r="D97" t="str">
        <f>IFERROR(INDEX(CATALOGOS!$H$3:$H$6,MATCH(C97,CATALOGOS!$G$3:$G$6,0)),"")</f>
        <v>Mesociclo</v>
      </c>
      <c r="E97" t="str">
        <f>IFERROR(INDEX(CATALOGOS!$I$3:$I$6,MATCH(C97,CATALOGOS!$G$3:$G$6,0)),"")</f>
        <v>Desarrollar / consolidar</v>
      </c>
    </row>
    <row r="98" spans="1:5" x14ac:dyDescent="0.2">
      <c r="A98" t="s">
        <v>69</v>
      </c>
      <c r="B98" t="s">
        <v>76</v>
      </c>
      <c r="C98" t="str">
        <f>INDEX(NORMATIVOS!$C$76:$Z$76,1,MATCH($B$3,NORMATIVOS!$C$1:$Z$1,0))</f>
        <v>Proyección</v>
      </c>
      <c r="D98" t="str">
        <f>IFERROR(INDEX(CATALOGOS!$H$3:$H$6,MATCH(C98,CATALOGOS!$G$3:$G$6,0)),"")</f>
        <v>Macrociclo</v>
      </c>
      <c r="E98" t="str">
        <f>IFERROR(INDEX(CATALOGOS!$I$3:$I$6,MATCH(C98,CATALOGOS!$G$3:$G$6,0)),"")</f>
        <v>Iniciar / aprender</v>
      </c>
    </row>
    <row r="99" spans="1:5" x14ac:dyDescent="0.2">
      <c r="A99" t="s">
        <v>69</v>
      </c>
      <c r="B99" t="s">
        <v>77</v>
      </c>
      <c r="C99" t="str">
        <f>INDEX(NORMATIVOS!$C$77:$Z$77,1,MATCH($B$3,NORMATIVOS!$C$1:$Z$1,0))</f>
        <v>Proyección</v>
      </c>
      <c r="D99" t="str">
        <f>IFERROR(INDEX(CATALOGOS!$H$3:$H$6,MATCH(C99,CATALOGOS!$G$3:$G$6,0)),"")</f>
        <v>Macrociclo</v>
      </c>
      <c r="E99" t="str">
        <f>IFERROR(INDEX(CATALOGOS!$I$3:$I$6,MATCH(C99,CATALOGOS!$G$3:$G$6,0)),"")</f>
        <v>Iniciar / aprender</v>
      </c>
    </row>
    <row r="100" spans="1:5" x14ac:dyDescent="0.2">
      <c r="A100" t="s">
        <v>69</v>
      </c>
      <c r="B100" t="s">
        <v>78</v>
      </c>
      <c r="C100" t="str">
        <f>INDEX(NORMATIVOS!$C$78:$Z$78,1,MATCH($B$3,NORMATIVOS!$C$1:$Z$1,0))</f>
        <v>Proyección</v>
      </c>
      <c r="D100" t="str">
        <f>IFERROR(INDEX(CATALOGOS!$H$3:$H$6,MATCH(C100,CATALOGOS!$G$3:$G$6,0)),"")</f>
        <v>Macrociclo</v>
      </c>
      <c r="E100" t="str">
        <f>IFERROR(INDEX(CATALOGOS!$I$3:$I$6,MATCH(C100,CATALOGOS!$G$3:$G$6,0)),"")</f>
        <v>Iniciar / aprender</v>
      </c>
    </row>
    <row r="101" spans="1:5" x14ac:dyDescent="0.2">
      <c r="A101" t="s">
        <v>79</v>
      </c>
      <c r="B101" t="s">
        <v>80</v>
      </c>
      <c r="C101" t="str">
        <f>INDEX(NORMATIVOS!$C$79:$Z$79,1,MATCH($B$3,NORMATIVOS!$C$1:$Z$1,0))</f>
        <v>Consolidado</v>
      </c>
      <c r="D101" t="str">
        <f>IFERROR(INDEX(CATALOGOS!$H$3:$H$6,MATCH(C101,CATALOGOS!$G$3:$G$6,0)),"")</f>
        <v>Microciclo</v>
      </c>
      <c r="E101" t="str">
        <f>IFERROR(INDEX(CATALOGOS!$I$3:$I$6,MATCH(C101,CATALOGOS!$G$3:$G$6,0)),"")</f>
        <v>Mantener / perfeccionar</v>
      </c>
    </row>
    <row r="102" spans="1:5" x14ac:dyDescent="0.2">
      <c r="A102" t="s">
        <v>79</v>
      </c>
      <c r="B102" t="s">
        <v>81</v>
      </c>
      <c r="C102" t="str">
        <f>INDEX(NORMATIVOS!$C$80:$Z$80,1,MATCH($B$3,NORMATIVOS!$C$1:$Z$1,0))</f>
        <v>Consolidado</v>
      </c>
      <c r="D102" t="str">
        <f>IFERROR(INDEX(CATALOGOS!$H$3:$H$6,MATCH(C102,CATALOGOS!$G$3:$G$6,0)),"")</f>
        <v>Microciclo</v>
      </c>
      <c r="E102" t="str">
        <f>IFERROR(INDEX(CATALOGOS!$I$3:$I$6,MATCH(C102,CATALOGOS!$G$3:$G$6,0)),"")</f>
        <v>Mantener / perfeccionar</v>
      </c>
    </row>
    <row r="103" spans="1:5" x14ac:dyDescent="0.2">
      <c r="A103" t="s">
        <v>79</v>
      </c>
      <c r="B103" t="s">
        <v>82</v>
      </c>
      <c r="C103" t="str">
        <f>INDEX(NORMATIVOS!$C$81:$Z$81,1,MATCH($B$3,NORMATIVOS!$C$1:$Z$1,0))</f>
        <v>Consolidado</v>
      </c>
      <c r="D103" t="str">
        <f>IFERROR(INDEX(CATALOGOS!$H$3:$H$6,MATCH(C103,CATALOGOS!$G$3:$G$6,0)),"")</f>
        <v>Microciclo</v>
      </c>
      <c r="E103" t="str">
        <f>IFERROR(INDEX(CATALOGOS!$I$3:$I$6,MATCH(C103,CATALOGOS!$G$3:$G$6,0)),"")</f>
        <v>Mantener / perfeccionar</v>
      </c>
    </row>
    <row r="104" spans="1:5" x14ac:dyDescent="0.2">
      <c r="A104" t="s">
        <v>79</v>
      </c>
      <c r="B104" t="s">
        <v>83</v>
      </c>
      <c r="C104" t="str">
        <f>INDEX(NORMATIVOS!$C$82:$Z$82,1,MATCH($B$3,NORMATIVOS!$C$1:$Z$1,0))</f>
        <v>En proceso</v>
      </c>
      <c r="D104" t="str">
        <f>IFERROR(INDEX(CATALOGOS!$H$3:$H$6,MATCH(C104,CATALOGOS!$G$3:$G$6,0)),"")</f>
        <v>Mesociclo</v>
      </c>
      <c r="E104" t="str">
        <f>IFERROR(INDEX(CATALOGOS!$I$3:$I$6,MATCH(C104,CATALOGOS!$G$3:$G$6,0)),"")</f>
        <v>Desarrollar / consolidar</v>
      </c>
    </row>
    <row r="105" spans="1:5" x14ac:dyDescent="0.2">
      <c r="A105" t="s">
        <v>79</v>
      </c>
      <c r="B105" t="s">
        <v>296</v>
      </c>
      <c r="C105" t="str">
        <f>INDEX(NORMATIVOS!$C$83:$Z$83,1,MATCH($B$3,NORMATIVOS!$C$1:$Z$1,0))</f>
        <v>En proceso</v>
      </c>
      <c r="D105" t="str">
        <f>IFERROR(INDEX(CATALOGOS!$H$3:$H$6,MATCH(C105,CATALOGOS!$G$3:$G$6,0)),"")</f>
        <v>Mesociclo</v>
      </c>
      <c r="E105" t="str">
        <f>IFERROR(INDEX(CATALOGOS!$I$3:$I$6,MATCH(C105,CATALOGOS!$G$3:$G$6,0)),"")</f>
        <v>Desarrollar / consolidar</v>
      </c>
    </row>
    <row r="106" spans="1:5" x14ac:dyDescent="0.2">
      <c r="A106" t="s">
        <v>79</v>
      </c>
      <c r="B106" t="s">
        <v>85</v>
      </c>
      <c r="C106" t="str">
        <f>INDEX(NORMATIVOS!$C$84:$Z$84,1,MATCH($B$3,NORMATIVOS!$C$1:$Z$1,0))</f>
        <v>Proyección</v>
      </c>
      <c r="D106" t="str">
        <f>IFERROR(INDEX(CATALOGOS!$H$3:$H$6,MATCH(C106,CATALOGOS!$G$3:$G$6,0)),"")</f>
        <v>Macrociclo</v>
      </c>
      <c r="E106" t="str">
        <f>IFERROR(INDEX(CATALOGOS!$I$3:$I$6,MATCH(C106,CATALOGOS!$G$3:$G$6,0)),"")</f>
        <v>Iniciar / aprender</v>
      </c>
    </row>
    <row r="107" spans="1:5" x14ac:dyDescent="0.2">
      <c r="A107" t="s">
        <v>79</v>
      </c>
      <c r="B107" t="s">
        <v>297</v>
      </c>
      <c r="C107" t="str">
        <f>INDEX(NORMATIVOS!$C$85:$Z$85,1,MATCH($B$3,NORMATIVOS!$C$1:$Z$1,0))</f>
        <v>Proyección</v>
      </c>
      <c r="D107" t="str">
        <f>IFERROR(INDEX(CATALOGOS!$H$3:$H$6,MATCH(C107,CATALOGOS!$G$3:$G$6,0)),"")</f>
        <v>Macrociclo</v>
      </c>
      <c r="E107" t="str">
        <f>IFERROR(INDEX(CATALOGOS!$I$3:$I$6,MATCH(C107,CATALOGOS!$G$3:$G$6,0)),"")</f>
        <v>Iniciar / aprender</v>
      </c>
    </row>
    <row r="108" spans="1:5" x14ac:dyDescent="0.2">
      <c r="A108" t="s">
        <v>79</v>
      </c>
      <c r="B108" t="s">
        <v>87</v>
      </c>
      <c r="C108" t="str">
        <f>INDEX(NORMATIVOS!$C$86:$Z$86,1,MATCH($B$3,NORMATIVOS!$C$1:$Z$1,0))</f>
        <v>Proyección</v>
      </c>
      <c r="D108" t="str">
        <f>IFERROR(INDEX(CATALOGOS!$H$3:$H$6,MATCH(C108,CATALOGOS!$G$3:$G$6,0)),"")</f>
        <v>Macrociclo</v>
      </c>
      <c r="E108" t="str">
        <f>IFERROR(INDEX(CATALOGOS!$I$3:$I$6,MATCH(C108,CATALOGOS!$G$3:$G$6,0)),"")</f>
        <v>Iniciar / aprender</v>
      </c>
    </row>
    <row r="109" spans="1:5" x14ac:dyDescent="0.2">
      <c r="A109" t="s">
        <v>79</v>
      </c>
      <c r="B109" t="s">
        <v>88</v>
      </c>
      <c r="C109" t="str">
        <f>INDEX(NORMATIVOS!$C$87:$Z$87,1,MATCH($B$3,NORMATIVOS!$C$1:$Z$1,0))</f>
        <v>Proyección</v>
      </c>
      <c r="D109" t="str">
        <f>IFERROR(INDEX(CATALOGOS!$H$3:$H$6,MATCH(C109,CATALOGOS!$G$3:$G$6,0)),"")</f>
        <v>Macrociclo</v>
      </c>
      <c r="E109" t="str">
        <f>IFERROR(INDEX(CATALOGOS!$I$3:$I$6,MATCH(C109,CATALOGOS!$G$3:$G$6,0)),"")</f>
        <v>Iniciar / aprender</v>
      </c>
    </row>
    <row r="110" spans="1:5" x14ac:dyDescent="0.2">
      <c r="A110" t="s">
        <v>79</v>
      </c>
      <c r="B110" t="s">
        <v>89</v>
      </c>
      <c r="C110" t="str">
        <f>INDEX(NORMATIVOS!$C$88:$Z$88,1,MATCH($B$3,NORMATIVOS!$C$1:$Z$1,0))</f>
        <v>Proyección</v>
      </c>
      <c r="D110" t="str">
        <f>IFERROR(INDEX(CATALOGOS!$H$3:$H$6,MATCH(C110,CATALOGOS!$G$3:$G$6,0)),"")</f>
        <v>Macrociclo</v>
      </c>
      <c r="E110" t="str">
        <f>IFERROR(INDEX(CATALOGOS!$I$3:$I$6,MATCH(C110,CATALOGOS!$G$3:$G$6,0)),"")</f>
        <v>Iniciar / aprender</v>
      </c>
    </row>
    <row r="111" spans="1:5" x14ac:dyDescent="0.2">
      <c r="A111" t="s">
        <v>79</v>
      </c>
      <c r="B111" t="s">
        <v>90</v>
      </c>
      <c r="C111" t="str">
        <f>INDEX(NORMATIVOS!$C$89:$Z$89,1,MATCH($B$3,NORMATIVOS!$C$1:$Z$1,0))</f>
        <v>Proyección</v>
      </c>
      <c r="D111" t="str">
        <f>IFERROR(INDEX(CATALOGOS!$H$3:$H$6,MATCH(C111,CATALOGOS!$G$3:$G$6,0)),"")</f>
        <v>Macrociclo</v>
      </c>
      <c r="E111" t="str">
        <f>IFERROR(INDEX(CATALOGOS!$I$3:$I$6,MATCH(C111,CATALOGOS!$G$3:$G$6,0)),"")</f>
        <v>Iniciar / aprender</v>
      </c>
    </row>
    <row r="112" spans="1:5" x14ac:dyDescent="0.2">
      <c r="A112" t="s">
        <v>79</v>
      </c>
      <c r="B112" t="s">
        <v>62</v>
      </c>
      <c r="C112" t="str">
        <f>INDEX(NORMATIVOS!$C$90:$Z$90,1,MATCH($B$3,NORMATIVOS!$C$1:$Z$1,0))</f>
        <v>Proyección</v>
      </c>
      <c r="D112" t="str">
        <f>IFERROR(INDEX(CATALOGOS!$H$3:$H$6,MATCH(C112,CATALOGOS!$G$3:$G$6,0)),"")</f>
        <v>Macrociclo</v>
      </c>
      <c r="E112" t="str">
        <f>IFERROR(INDEX(CATALOGOS!$I$3:$I$6,MATCH(C112,CATALOGOS!$G$3:$G$6,0)),"")</f>
        <v>Iniciar / aprender</v>
      </c>
    </row>
    <row r="113" spans="1:5" x14ac:dyDescent="0.2">
      <c r="A113" t="s">
        <v>79</v>
      </c>
      <c r="B113" t="s">
        <v>91</v>
      </c>
      <c r="C113" t="str">
        <f>INDEX(NORMATIVOS!$C$91:$Z$91,1,MATCH($B$3,NORMATIVOS!$C$1:$Z$1,0))</f>
        <v>Proyección</v>
      </c>
      <c r="D113" t="str">
        <f>IFERROR(INDEX(CATALOGOS!$H$3:$H$6,MATCH(C113,CATALOGOS!$G$3:$G$6,0)),"")</f>
        <v>Macrociclo</v>
      </c>
      <c r="E113" t="str">
        <f>IFERROR(INDEX(CATALOGOS!$I$3:$I$6,MATCH(C113,CATALOGOS!$G$3:$G$6,0)),"")</f>
        <v>Iniciar / aprender</v>
      </c>
    </row>
    <row r="114" spans="1:5" x14ac:dyDescent="0.2">
      <c r="A114" t="s">
        <v>79</v>
      </c>
      <c r="B114" t="s">
        <v>92</v>
      </c>
      <c r="C114" t="str">
        <f>INDEX(NORMATIVOS!$C$92:$Z$92,1,MATCH($B$3,NORMATIVOS!$C$1:$Z$1,0))</f>
        <v>Proyección</v>
      </c>
      <c r="D114" t="str">
        <f>IFERROR(INDEX(CATALOGOS!$H$3:$H$6,MATCH(C114,CATALOGOS!$G$3:$G$6,0)),"")</f>
        <v>Macrociclo</v>
      </c>
      <c r="E114" t="str">
        <f>IFERROR(INDEX(CATALOGOS!$I$3:$I$6,MATCH(C114,CATALOGOS!$G$3:$G$6,0)),"")</f>
        <v>Iniciar / aprender</v>
      </c>
    </row>
    <row r="115" spans="1:5" x14ac:dyDescent="0.2">
      <c r="A115" t="s">
        <v>79</v>
      </c>
      <c r="B115" t="s">
        <v>93</v>
      </c>
      <c r="C115" t="str">
        <f>INDEX(NORMATIVOS!$C$93:$Z$93,1,MATCH($B$3,NORMATIVOS!$C$1:$Z$1,0))</f>
        <v>Proyección</v>
      </c>
      <c r="D115" t="str">
        <f>IFERROR(INDEX(CATALOGOS!$H$3:$H$6,MATCH(C115,CATALOGOS!$G$3:$G$6,0)),"")</f>
        <v>Macrociclo</v>
      </c>
      <c r="E115" t="str">
        <f>IFERROR(INDEX(CATALOGOS!$I$3:$I$6,MATCH(C115,CATALOGOS!$G$3:$G$6,0)),"")</f>
        <v>Iniciar / aprender</v>
      </c>
    </row>
    <row r="116" spans="1:5" x14ac:dyDescent="0.2">
      <c r="A116" t="s">
        <v>79</v>
      </c>
      <c r="B116" t="s">
        <v>94</v>
      </c>
      <c r="C116" t="str">
        <f>INDEX(NORMATIVOS!$C$94:$Z$94,1,MATCH($B$3,NORMATIVOS!$C$1:$Z$1,0))</f>
        <v>Proyección</v>
      </c>
      <c r="D116" t="str">
        <f>IFERROR(INDEX(CATALOGOS!$H$3:$H$6,MATCH(C116,CATALOGOS!$G$3:$G$6,0)),"")</f>
        <v>Macrociclo</v>
      </c>
      <c r="E116" t="str">
        <f>IFERROR(INDEX(CATALOGOS!$I$3:$I$6,MATCH(C116,CATALOGOS!$G$3:$G$6,0)),"")</f>
        <v>Iniciar / aprender</v>
      </c>
    </row>
    <row r="117" spans="1:5" x14ac:dyDescent="0.2">
      <c r="A117" t="s">
        <v>79</v>
      </c>
      <c r="B117" t="s">
        <v>95</v>
      </c>
      <c r="C117" t="str">
        <f>INDEX(NORMATIVOS!$C$95:$Z$95,1,MATCH($B$3,NORMATIVOS!$C$1:$Z$1,0))</f>
        <v>Proyección</v>
      </c>
      <c r="D117" t="str">
        <f>IFERROR(INDEX(CATALOGOS!$H$3:$H$6,MATCH(C117,CATALOGOS!$G$3:$G$6,0)),"")</f>
        <v>Macrociclo</v>
      </c>
      <c r="E117" t="str">
        <f>IFERROR(INDEX(CATALOGOS!$I$3:$I$6,MATCH(C117,CATALOGOS!$G$3:$G$6,0)),"")</f>
        <v>Iniciar / aprender</v>
      </c>
    </row>
    <row r="118" spans="1:5" x14ac:dyDescent="0.2">
      <c r="A118" t="s">
        <v>79</v>
      </c>
      <c r="B118" t="s">
        <v>77</v>
      </c>
      <c r="C118" t="str">
        <f>INDEX(NORMATIVOS!$C$96:$Z$96,1,MATCH($B$3,NORMATIVOS!$C$1:$Z$1,0))</f>
        <v>Proyección</v>
      </c>
      <c r="D118" t="str">
        <f>IFERROR(INDEX(CATALOGOS!$H$3:$H$6,MATCH(C118,CATALOGOS!$G$3:$G$6,0)),"")</f>
        <v>Macrociclo</v>
      </c>
      <c r="E118" t="str">
        <f>IFERROR(INDEX(CATALOGOS!$I$3:$I$6,MATCH(C118,CATALOGOS!$G$3:$G$6,0)),"")</f>
        <v>Iniciar / aprender</v>
      </c>
    </row>
    <row r="119" spans="1:5" x14ac:dyDescent="0.2">
      <c r="A119" t="s">
        <v>79</v>
      </c>
      <c r="B119" t="s">
        <v>78</v>
      </c>
      <c r="C119" t="str">
        <f>INDEX(NORMATIVOS!$C$97:$Z$97,1,MATCH($B$3,NORMATIVOS!$C$1:$Z$1,0))</f>
        <v>Proyección</v>
      </c>
      <c r="D119" t="str">
        <f>IFERROR(INDEX(CATALOGOS!$H$3:$H$6,MATCH(C119,CATALOGOS!$G$3:$G$6,0)),"")</f>
        <v>Macrociclo</v>
      </c>
      <c r="E119" t="str">
        <f>IFERROR(INDEX(CATALOGOS!$I$3:$I$6,MATCH(C119,CATALOGOS!$G$3:$G$6,0)),"")</f>
        <v>Iniciar / aprender</v>
      </c>
    </row>
    <row r="120" spans="1:5" x14ac:dyDescent="0.2">
      <c r="A120" t="s">
        <v>79</v>
      </c>
      <c r="B120" t="s">
        <v>97</v>
      </c>
      <c r="C120" t="str">
        <f>INDEX(NORMATIVOS!$C$98:$Z$98,1,MATCH($B$3,NORMATIVOS!$C$1:$Z$1,0))</f>
        <v>Proyección</v>
      </c>
      <c r="D120" t="str">
        <f>IFERROR(INDEX(CATALOGOS!$H$3:$H$6,MATCH(C120,CATALOGOS!$G$3:$G$6,0)),"")</f>
        <v>Macrociclo</v>
      </c>
      <c r="E120" t="str">
        <f>IFERROR(INDEX(CATALOGOS!$I$3:$I$6,MATCH(C120,CATALOGOS!$G$3:$G$6,0)),"")</f>
        <v>Iniciar / aprender</v>
      </c>
    </row>
    <row r="121" spans="1:5" x14ac:dyDescent="0.2">
      <c r="A121" t="s">
        <v>79</v>
      </c>
      <c r="B121" t="s">
        <v>98</v>
      </c>
      <c r="C121" t="str">
        <f>INDEX(NORMATIVOS!$C$99:$Z$99,1,MATCH($B$3,NORMATIVOS!$C$1:$Z$1,0))</f>
        <v>Proyección</v>
      </c>
      <c r="D121" t="str">
        <f>IFERROR(INDEX(CATALOGOS!$H$3:$H$6,MATCH(C121,CATALOGOS!$G$3:$G$6,0)),"")</f>
        <v>Macrociclo</v>
      </c>
      <c r="E121" t="str">
        <f>IFERROR(INDEX(CATALOGOS!$I$3:$I$6,MATCH(C121,CATALOGOS!$G$3:$G$6,0)),"")</f>
        <v>Iniciar / aprender</v>
      </c>
    </row>
    <row r="122" spans="1:5" x14ac:dyDescent="0.2">
      <c r="A122" t="s">
        <v>79</v>
      </c>
      <c r="B122" t="s">
        <v>99</v>
      </c>
      <c r="C122" t="str">
        <f>INDEX(NORMATIVOS!$C$100:$Z$100,1,MATCH($B$3,NORMATIVOS!$C$1:$Z$1,0))</f>
        <v>Proyección</v>
      </c>
      <c r="D122" t="str">
        <f>IFERROR(INDEX(CATALOGOS!$H$3:$H$6,MATCH(C122,CATALOGOS!$G$3:$G$6,0)),"")</f>
        <v>Macrociclo</v>
      </c>
      <c r="E122" t="str">
        <f>IFERROR(INDEX(CATALOGOS!$I$3:$I$6,MATCH(C122,CATALOGOS!$G$3:$G$6,0)),"")</f>
        <v>Iniciar / aprender</v>
      </c>
    </row>
    <row r="123" spans="1:5" x14ac:dyDescent="0.2">
      <c r="A123" t="s">
        <v>79</v>
      </c>
      <c r="B123" t="s">
        <v>100</v>
      </c>
      <c r="C123" t="str">
        <f>INDEX(NORMATIVOS!$C$101:$Z$101,1,MATCH($B$3,NORMATIVOS!$C$1:$Z$1,0))</f>
        <v>Proyección</v>
      </c>
      <c r="D123" t="str">
        <f>IFERROR(INDEX(CATALOGOS!$H$3:$H$6,MATCH(C123,CATALOGOS!$G$3:$G$6,0)),"")</f>
        <v>Macrociclo</v>
      </c>
      <c r="E123" t="str">
        <f>IFERROR(INDEX(CATALOGOS!$I$3:$I$6,MATCH(C123,CATALOGOS!$G$3:$G$6,0)),"")</f>
        <v>Iniciar / aprender</v>
      </c>
    </row>
    <row r="124" spans="1:5" x14ac:dyDescent="0.2">
      <c r="A124" t="s">
        <v>79</v>
      </c>
      <c r="B124" t="s">
        <v>101</v>
      </c>
      <c r="C124" t="str">
        <f>INDEX(NORMATIVOS!$C$102:$Z$102,1,MATCH($B$3,NORMATIVOS!$C$1:$Z$1,0))</f>
        <v>Proyección</v>
      </c>
      <c r="D124" t="str">
        <f>IFERROR(INDEX(CATALOGOS!$H$3:$H$6,MATCH(C124,CATALOGOS!$G$3:$G$6,0)),"")</f>
        <v>Macrociclo</v>
      </c>
      <c r="E124" t="str">
        <f>IFERROR(INDEX(CATALOGOS!$I$3:$I$6,MATCH(C124,CATALOGOS!$G$3:$G$6,0)),"")</f>
        <v>Iniciar / aprender</v>
      </c>
    </row>
    <row r="125" spans="1:5" x14ac:dyDescent="0.2">
      <c r="A125" t="s">
        <v>79</v>
      </c>
      <c r="B125" t="s">
        <v>102</v>
      </c>
      <c r="C125" t="str">
        <f>INDEX(NORMATIVOS!$C$103:$Z$103,1,MATCH($B$3,NORMATIVOS!$C$1:$Z$1,0))</f>
        <v>Proyección</v>
      </c>
      <c r="D125" t="str">
        <f>IFERROR(INDEX(CATALOGOS!$H$3:$H$6,MATCH(C125,CATALOGOS!$G$3:$G$6,0)),"")</f>
        <v>Macrociclo</v>
      </c>
      <c r="E125" t="str">
        <f>IFERROR(INDEX(CATALOGOS!$I$3:$I$6,MATCH(C125,CATALOGOS!$G$3:$G$6,0)),"")</f>
        <v>Iniciar / aprender</v>
      </c>
    </row>
    <row r="126" spans="1:5" x14ac:dyDescent="0.2">
      <c r="A126" t="s">
        <v>79</v>
      </c>
      <c r="B126" t="s">
        <v>103</v>
      </c>
      <c r="C126" t="str">
        <f>INDEX(NORMATIVOS!$C$104:$Z$104,1,MATCH($B$3,NORMATIVOS!$C$1:$Z$1,0))</f>
        <v>Proyección</v>
      </c>
      <c r="D126" t="str">
        <f>IFERROR(INDEX(CATALOGOS!$H$3:$H$6,MATCH(C126,CATALOGOS!$G$3:$G$6,0)),"")</f>
        <v>Macrociclo</v>
      </c>
      <c r="E126" t="str">
        <f>IFERROR(INDEX(CATALOGOS!$I$3:$I$6,MATCH(C126,CATALOGOS!$G$3:$G$6,0)),"")</f>
        <v>Iniciar / aprender</v>
      </c>
    </row>
    <row r="127" spans="1:5" x14ac:dyDescent="0.2">
      <c r="A127" t="s">
        <v>105</v>
      </c>
      <c r="B127" t="s">
        <v>106</v>
      </c>
      <c r="C127" t="str">
        <f>INDEX(NORMATIVOS!$C$107:$Z$107,1,MATCH($B$3,NORMATIVOS!$C$1:$Z$1,0))</f>
        <v>Consolidado</v>
      </c>
      <c r="D127" t="str">
        <f>IFERROR(INDEX(CATALOGOS!$H$3:$H$6,MATCH(C127,CATALOGOS!$G$3:$G$6,0)),"")</f>
        <v>Microciclo</v>
      </c>
      <c r="E127" t="str">
        <f>IFERROR(INDEX(CATALOGOS!$I$3:$I$6,MATCH(C127,CATALOGOS!$G$3:$G$6,0)),"")</f>
        <v>Mantener / perfeccionar</v>
      </c>
    </row>
    <row r="128" spans="1:5" x14ac:dyDescent="0.2">
      <c r="A128" t="s">
        <v>105</v>
      </c>
      <c r="B128" t="s">
        <v>107</v>
      </c>
      <c r="C128" t="str">
        <f>INDEX(NORMATIVOS!$C$108:$Z$108,1,MATCH($B$3,NORMATIVOS!$C$1:$Z$1,0))</f>
        <v>Consolidado</v>
      </c>
      <c r="D128" t="str">
        <f>IFERROR(INDEX(CATALOGOS!$H$3:$H$6,MATCH(C128,CATALOGOS!$G$3:$G$6,0)),"")</f>
        <v>Microciclo</v>
      </c>
      <c r="E128" t="str">
        <f>IFERROR(INDEX(CATALOGOS!$I$3:$I$6,MATCH(C128,CATALOGOS!$G$3:$G$6,0)),"")</f>
        <v>Mantener / perfeccionar</v>
      </c>
    </row>
    <row r="129" spans="1:5" x14ac:dyDescent="0.2">
      <c r="A129" t="s">
        <v>105</v>
      </c>
      <c r="B129" t="s">
        <v>108</v>
      </c>
      <c r="C129" t="str">
        <f>INDEX(NORMATIVOS!$C$109:$Z$109,1,MATCH($B$3,NORMATIVOS!$C$1:$Z$1,0))</f>
        <v>Consolidado</v>
      </c>
      <c r="D129" t="str">
        <f>IFERROR(INDEX(CATALOGOS!$H$3:$H$6,MATCH(C129,CATALOGOS!$G$3:$G$6,0)),"")</f>
        <v>Microciclo</v>
      </c>
      <c r="E129" t="str">
        <f>IFERROR(INDEX(CATALOGOS!$I$3:$I$6,MATCH(C129,CATALOGOS!$G$3:$G$6,0)),"")</f>
        <v>Mantener / perfeccionar</v>
      </c>
    </row>
    <row r="130" spans="1:5" x14ac:dyDescent="0.2">
      <c r="A130" t="s">
        <v>105</v>
      </c>
      <c r="B130" t="s">
        <v>298</v>
      </c>
      <c r="C130" t="str">
        <f>INDEX(NORMATIVOS!$C$110:$Z$110,1,MATCH($B$3,NORMATIVOS!$C$1:$Z$1,0))</f>
        <v>Consolidado</v>
      </c>
      <c r="D130" t="str">
        <f>IFERROR(INDEX(CATALOGOS!$H$3:$H$6,MATCH(C130,CATALOGOS!$G$3:$G$6,0)),"")</f>
        <v>Microciclo</v>
      </c>
      <c r="E130" t="str">
        <f>IFERROR(INDEX(CATALOGOS!$I$3:$I$6,MATCH(C130,CATALOGOS!$G$3:$G$6,0)),"")</f>
        <v>Mantener / perfeccionar</v>
      </c>
    </row>
    <row r="131" spans="1:5" x14ac:dyDescent="0.2">
      <c r="A131" t="s">
        <v>105</v>
      </c>
      <c r="B131" t="s">
        <v>110</v>
      </c>
      <c r="C131" t="str">
        <f>INDEX(NORMATIVOS!$C$111:$Z$111,1,MATCH($B$3,NORMATIVOS!$C$1:$Z$1,0))</f>
        <v>Consolidado</v>
      </c>
      <c r="D131" t="str">
        <f>IFERROR(INDEX(CATALOGOS!$H$3:$H$6,MATCH(C131,CATALOGOS!$G$3:$G$6,0)),"")</f>
        <v>Microciclo</v>
      </c>
      <c r="E131" t="str">
        <f>IFERROR(INDEX(CATALOGOS!$I$3:$I$6,MATCH(C131,CATALOGOS!$G$3:$G$6,0)),"")</f>
        <v>Mantener / perfeccionar</v>
      </c>
    </row>
    <row r="132" spans="1:5" x14ac:dyDescent="0.2">
      <c r="A132" t="s">
        <v>105</v>
      </c>
      <c r="B132" t="s">
        <v>111</v>
      </c>
      <c r="C132" t="str">
        <f>INDEX(NORMATIVOS!$C$112:$Z$112,1,MATCH($B$3,NORMATIVOS!$C$1:$Z$1,0))</f>
        <v>Consolidado</v>
      </c>
      <c r="D132" t="str">
        <f>IFERROR(INDEX(CATALOGOS!$H$3:$H$6,MATCH(C132,CATALOGOS!$G$3:$G$6,0)),"")</f>
        <v>Microciclo</v>
      </c>
      <c r="E132" t="str">
        <f>IFERROR(INDEX(CATALOGOS!$I$3:$I$6,MATCH(C132,CATALOGOS!$G$3:$G$6,0)),"")</f>
        <v>Mantener / perfeccionar</v>
      </c>
    </row>
    <row r="133" spans="1:5" x14ac:dyDescent="0.2">
      <c r="A133" t="s">
        <v>105</v>
      </c>
      <c r="B133" t="s">
        <v>112</v>
      </c>
      <c r="C133" t="str">
        <f>INDEX(NORMATIVOS!$C$113:$Z$113,1,MATCH($B$3,NORMATIVOS!$C$1:$Z$1,0))</f>
        <v>Consolidado</v>
      </c>
      <c r="D133" t="str">
        <f>IFERROR(INDEX(CATALOGOS!$H$3:$H$6,MATCH(C133,CATALOGOS!$G$3:$G$6,0)),"")</f>
        <v>Microciclo</v>
      </c>
      <c r="E133" t="str">
        <f>IFERROR(INDEX(CATALOGOS!$I$3:$I$6,MATCH(C133,CATALOGOS!$G$3:$G$6,0)),"")</f>
        <v>Mantener / perfeccionar</v>
      </c>
    </row>
    <row r="134" spans="1:5" x14ac:dyDescent="0.2">
      <c r="A134" t="s">
        <v>105</v>
      </c>
      <c r="B134" t="s">
        <v>5</v>
      </c>
      <c r="C134" t="str">
        <f>INDEX(NORMATIVOS!$C$114:$Z$114,1,MATCH($B$3,NORMATIVOS!$C$1:$Z$1,0))</f>
        <v>Consolidado</v>
      </c>
      <c r="D134" t="str">
        <f>IFERROR(INDEX(CATALOGOS!$H$3:$H$6,MATCH(C134,CATALOGOS!$G$3:$G$6,0)),"")</f>
        <v>Microciclo</v>
      </c>
      <c r="E134" t="str">
        <f>IFERROR(INDEX(CATALOGOS!$I$3:$I$6,MATCH(C134,CATALOGOS!$G$3:$G$6,0)),"")</f>
        <v>Mantener / perfeccionar</v>
      </c>
    </row>
    <row r="135" spans="1:5" x14ac:dyDescent="0.2">
      <c r="A135" t="s">
        <v>105</v>
      </c>
      <c r="B135" t="s">
        <v>113</v>
      </c>
      <c r="C135" t="str">
        <f>INDEX(NORMATIVOS!$C$115:$Z$115,1,MATCH($B$3,NORMATIVOS!$C$1:$Z$1,0))</f>
        <v>En proceso</v>
      </c>
      <c r="D135" t="str">
        <f>IFERROR(INDEX(CATALOGOS!$H$3:$H$6,MATCH(C135,CATALOGOS!$G$3:$G$6,0)),"")</f>
        <v>Mesociclo</v>
      </c>
      <c r="E135" t="str">
        <f>IFERROR(INDEX(CATALOGOS!$I$3:$I$6,MATCH(C135,CATALOGOS!$G$3:$G$6,0)),"")</f>
        <v>Desarrollar / consolidar</v>
      </c>
    </row>
    <row r="136" spans="1:5" x14ac:dyDescent="0.2">
      <c r="A136" t="s">
        <v>105</v>
      </c>
      <c r="B136" t="s">
        <v>299</v>
      </c>
      <c r="C136" t="str">
        <f>INDEX(NORMATIVOS!$C$116:$Z$116,1,MATCH($B$3,NORMATIVOS!$C$1:$Z$1,0))</f>
        <v>Consolidado</v>
      </c>
      <c r="D136" t="str">
        <f>IFERROR(INDEX(CATALOGOS!$H$3:$H$6,MATCH(C136,CATALOGOS!$G$3:$G$6,0)),"")</f>
        <v>Microciclo</v>
      </c>
      <c r="E136" t="str">
        <f>IFERROR(INDEX(CATALOGOS!$I$3:$I$6,MATCH(C136,CATALOGOS!$G$3:$G$6,0)),"")</f>
        <v>Mantener / perfeccionar</v>
      </c>
    </row>
    <row r="137" spans="1:5" x14ac:dyDescent="0.2">
      <c r="A137" t="s">
        <v>105</v>
      </c>
      <c r="B137" t="s">
        <v>115</v>
      </c>
      <c r="C137" t="str">
        <f>INDEX(NORMATIVOS!$C$117:$Z$117,1,MATCH($B$3,NORMATIVOS!$C$1:$Z$1,0))</f>
        <v>En proceso</v>
      </c>
      <c r="D137" t="str">
        <f>IFERROR(INDEX(CATALOGOS!$H$3:$H$6,MATCH(C137,CATALOGOS!$G$3:$G$6,0)),"")</f>
        <v>Mesociclo</v>
      </c>
      <c r="E137" t="str">
        <f>IFERROR(INDEX(CATALOGOS!$I$3:$I$6,MATCH(C137,CATALOGOS!$G$3:$G$6,0)),"")</f>
        <v>Desarrollar / consolidar</v>
      </c>
    </row>
    <row r="138" spans="1:5" x14ac:dyDescent="0.2">
      <c r="A138" t="s">
        <v>105</v>
      </c>
      <c r="B138" t="s">
        <v>116</v>
      </c>
      <c r="C138" t="str">
        <f>INDEX(NORMATIVOS!$C$118:$Z$118,1,MATCH($B$3,NORMATIVOS!$C$1:$Z$1,0))</f>
        <v>En proceso</v>
      </c>
      <c r="D138" t="str">
        <f>IFERROR(INDEX(CATALOGOS!$H$3:$H$6,MATCH(C138,CATALOGOS!$G$3:$G$6,0)),"")</f>
        <v>Mesociclo</v>
      </c>
      <c r="E138" t="str">
        <f>IFERROR(INDEX(CATALOGOS!$I$3:$I$6,MATCH(C138,CATALOGOS!$G$3:$G$6,0)),"")</f>
        <v>Desarrollar / consolidar</v>
      </c>
    </row>
    <row r="139" spans="1:5" x14ac:dyDescent="0.2">
      <c r="A139" t="s">
        <v>105</v>
      </c>
      <c r="B139" t="s">
        <v>117</v>
      </c>
      <c r="C139" t="str">
        <f>INDEX(NORMATIVOS!$C$119:$Z$119,1,MATCH($B$3,NORMATIVOS!$C$1:$Z$1,0))</f>
        <v>Proyección</v>
      </c>
      <c r="D139" t="str">
        <f>IFERROR(INDEX(CATALOGOS!$H$3:$H$6,MATCH(C139,CATALOGOS!$G$3:$G$6,0)),"")</f>
        <v>Macrociclo</v>
      </c>
      <c r="E139" t="str">
        <f>IFERROR(INDEX(CATALOGOS!$I$3:$I$6,MATCH(C139,CATALOGOS!$G$3:$G$6,0)),"")</f>
        <v>Iniciar / aprender</v>
      </c>
    </row>
    <row r="140" spans="1:5" x14ac:dyDescent="0.2">
      <c r="A140" t="s">
        <v>105</v>
      </c>
      <c r="B140" t="s">
        <v>118</v>
      </c>
      <c r="C140" t="str">
        <f>INDEX(NORMATIVOS!$C$120:$Z$120,1,MATCH($B$3,NORMATIVOS!$C$1:$Z$1,0))</f>
        <v>Proyección</v>
      </c>
      <c r="D140" t="str">
        <f>IFERROR(INDEX(CATALOGOS!$H$3:$H$6,MATCH(C140,CATALOGOS!$G$3:$G$6,0)),"")</f>
        <v>Macrociclo</v>
      </c>
      <c r="E140" t="str">
        <f>IFERROR(INDEX(CATALOGOS!$I$3:$I$6,MATCH(C140,CATALOGOS!$G$3:$G$6,0)),"")</f>
        <v>Iniciar / aprender</v>
      </c>
    </row>
    <row r="141" spans="1:5" x14ac:dyDescent="0.2">
      <c r="A141" t="s">
        <v>105</v>
      </c>
      <c r="B141" t="s">
        <v>119</v>
      </c>
      <c r="C141" t="str">
        <f>INDEX(NORMATIVOS!$C$121:$Z$121,1,MATCH($B$3,NORMATIVOS!$C$1:$Z$1,0))</f>
        <v>Proyección</v>
      </c>
      <c r="D141" t="str">
        <f>IFERROR(INDEX(CATALOGOS!$H$3:$H$6,MATCH(C141,CATALOGOS!$G$3:$G$6,0)),"")</f>
        <v>Macrociclo</v>
      </c>
      <c r="E141" t="str">
        <f>IFERROR(INDEX(CATALOGOS!$I$3:$I$6,MATCH(C141,CATALOGOS!$G$3:$G$6,0)),"")</f>
        <v>Iniciar / aprender</v>
      </c>
    </row>
    <row r="142" spans="1:5" x14ac:dyDescent="0.2">
      <c r="A142" t="s">
        <v>120</v>
      </c>
      <c r="B142" t="s">
        <v>121</v>
      </c>
      <c r="C142" t="str">
        <f>INDEX(NORMATIVOS!$C$122:$Z$122,1,MATCH($B$3,NORMATIVOS!$C$1:$Z$1,0))</f>
        <v>Consolidado</v>
      </c>
      <c r="D142" t="str">
        <f>IFERROR(INDEX(CATALOGOS!$H$3:$H$6,MATCH(C142,CATALOGOS!$G$3:$G$6,0)),"")</f>
        <v>Microciclo</v>
      </c>
      <c r="E142" t="str">
        <f>IFERROR(INDEX(CATALOGOS!$I$3:$I$6,MATCH(C142,CATALOGOS!$G$3:$G$6,0)),"")</f>
        <v>Mantener / perfeccionar</v>
      </c>
    </row>
    <row r="143" spans="1:5" x14ac:dyDescent="0.2">
      <c r="A143" t="s">
        <v>120</v>
      </c>
      <c r="B143" t="s">
        <v>300</v>
      </c>
      <c r="C143" t="str">
        <f>INDEX(NORMATIVOS!$C$123:$Z$123,1,MATCH($B$3,NORMATIVOS!$C$1:$Z$1,0))</f>
        <v>En proceso</v>
      </c>
      <c r="D143" t="str">
        <f>IFERROR(INDEX(CATALOGOS!$H$3:$H$6,MATCH(C143,CATALOGOS!$G$3:$G$6,0)),"")</f>
        <v>Mesociclo</v>
      </c>
      <c r="E143" t="str">
        <f>IFERROR(INDEX(CATALOGOS!$I$3:$I$6,MATCH(C143,CATALOGOS!$G$3:$G$6,0)),"")</f>
        <v>Desarrollar / consolidar</v>
      </c>
    </row>
    <row r="144" spans="1:5" x14ac:dyDescent="0.2">
      <c r="A144" t="s">
        <v>120</v>
      </c>
      <c r="B144" t="s">
        <v>123</v>
      </c>
      <c r="C144" t="str">
        <f>INDEX(NORMATIVOS!$C$124:$Z$124,1,MATCH($B$3,NORMATIVOS!$C$1:$Z$1,0))</f>
        <v>En proceso</v>
      </c>
      <c r="D144" t="str">
        <f>IFERROR(INDEX(CATALOGOS!$H$3:$H$6,MATCH(C144,CATALOGOS!$G$3:$G$6,0)),"")</f>
        <v>Mesociclo</v>
      </c>
      <c r="E144" t="str">
        <f>IFERROR(INDEX(CATALOGOS!$I$3:$I$6,MATCH(C144,CATALOGOS!$G$3:$G$6,0)),"")</f>
        <v>Desarrollar / consolidar</v>
      </c>
    </row>
    <row r="145" spans="1:5" x14ac:dyDescent="0.2">
      <c r="A145" t="s">
        <v>120</v>
      </c>
      <c r="B145" t="s">
        <v>124</v>
      </c>
      <c r="C145" t="str">
        <f>INDEX(NORMATIVOS!$C$125:$Z$125,1,MATCH($B$3,NORMATIVOS!$C$1:$Z$1,0))</f>
        <v>En proceso</v>
      </c>
      <c r="D145" t="str">
        <f>IFERROR(INDEX(CATALOGOS!$H$3:$H$6,MATCH(C145,CATALOGOS!$G$3:$G$6,0)),"")</f>
        <v>Mesociclo</v>
      </c>
      <c r="E145" t="str">
        <f>IFERROR(INDEX(CATALOGOS!$I$3:$I$6,MATCH(C145,CATALOGOS!$G$3:$G$6,0)),"")</f>
        <v>Desarrollar / consolidar</v>
      </c>
    </row>
    <row r="146" spans="1:5" x14ac:dyDescent="0.2">
      <c r="A146" t="s">
        <v>120</v>
      </c>
      <c r="B146" t="s">
        <v>125</v>
      </c>
      <c r="C146" t="str">
        <f>INDEX(NORMATIVOS!$C$126:$Z$126,1,MATCH($B$3,NORMATIVOS!$C$1:$Z$1,0))</f>
        <v>En proceso</v>
      </c>
      <c r="D146" t="str">
        <f>IFERROR(INDEX(CATALOGOS!$H$3:$H$6,MATCH(C146,CATALOGOS!$G$3:$G$6,0)),"")</f>
        <v>Mesociclo</v>
      </c>
      <c r="E146" t="str">
        <f>IFERROR(INDEX(CATALOGOS!$I$3:$I$6,MATCH(C146,CATALOGOS!$G$3:$G$6,0)),"")</f>
        <v>Desarrollar / consolidar</v>
      </c>
    </row>
    <row r="147" spans="1:5" x14ac:dyDescent="0.2">
      <c r="A147" t="s">
        <v>120</v>
      </c>
      <c r="B147" t="s">
        <v>126</v>
      </c>
      <c r="C147" t="str">
        <f>INDEX(NORMATIVOS!$C$127:$Z$127,1,MATCH($B$3,NORMATIVOS!$C$1:$Z$1,0))</f>
        <v>Consolidado</v>
      </c>
      <c r="D147" t="str">
        <f>IFERROR(INDEX(CATALOGOS!$H$3:$H$6,MATCH(C147,CATALOGOS!$G$3:$G$6,0)),"")</f>
        <v>Microciclo</v>
      </c>
      <c r="E147" t="str">
        <f>IFERROR(INDEX(CATALOGOS!$I$3:$I$6,MATCH(C147,CATALOGOS!$G$3:$G$6,0)),"")</f>
        <v>Mantener / perfeccionar</v>
      </c>
    </row>
    <row r="148" spans="1:5" x14ac:dyDescent="0.2">
      <c r="A148" t="s">
        <v>120</v>
      </c>
      <c r="B148" t="s">
        <v>127</v>
      </c>
      <c r="C148" t="str">
        <f>INDEX(NORMATIVOS!$C$128:$Z$128,1,MATCH($B$3,NORMATIVOS!$C$1:$Z$1,0))</f>
        <v>En proceso</v>
      </c>
      <c r="D148" t="str">
        <f>IFERROR(INDEX(CATALOGOS!$H$3:$H$6,MATCH(C148,CATALOGOS!$G$3:$G$6,0)),"")</f>
        <v>Mesociclo</v>
      </c>
      <c r="E148" t="str">
        <f>IFERROR(INDEX(CATALOGOS!$I$3:$I$6,MATCH(C148,CATALOGOS!$G$3:$G$6,0)),"")</f>
        <v>Desarrollar / consolidar</v>
      </c>
    </row>
    <row r="149" spans="1:5" x14ac:dyDescent="0.2">
      <c r="A149" t="s">
        <v>120</v>
      </c>
      <c r="B149" t="s">
        <v>301</v>
      </c>
      <c r="C149" t="str">
        <f>INDEX(NORMATIVOS!$C$129:$Z$129,1,MATCH($B$3,NORMATIVOS!$C$1:$Z$1,0))</f>
        <v>Consolidado</v>
      </c>
      <c r="D149" t="str">
        <f>IFERROR(INDEX(CATALOGOS!$H$3:$H$6,MATCH(C149,CATALOGOS!$G$3:$G$6,0)),"")</f>
        <v>Microciclo</v>
      </c>
      <c r="E149" t="str">
        <f>IFERROR(INDEX(CATALOGOS!$I$3:$I$6,MATCH(C149,CATALOGOS!$G$3:$G$6,0)),"")</f>
        <v>Mantener / perfeccionar</v>
      </c>
    </row>
    <row r="150" spans="1:5" x14ac:dyDescent="0.2">
      <c r="A150" t="s">
        <v>120</v>
      </c>
      <c r="B150" t="s">
        <v>129</v>
      </c>
      <c r="C150" t="str">
        <f>INDEX(NORMATIVOS!$C$130:$Z$130,1,MATCH($B$3,NORMATIVOS!$C$1:$Z$1,0))</f>
        <v>En proceso</v>
      </c>
      <c r="D150" t="str">
        <f>IFERROR(INDEX(CATALOGOS!$H$3:$H$6,MATCH(C150,CATALOGOS!$G$3:$G$6,0)),"")</f>
        <v>Mesociclo</v>
      </c>
      <c r="E150" t="str">
        <f>IFERROR(INDEX(CATALOGOS!$I$3:$I$6,MATCH(C150,CATALOGOS!$G$3:$G$6,0)),"")</f>
        <v>Desarrollar / consolidar</v>
      </c>
    </row>
    <row r="151" spans="1:5" x14ac:dyDescent="0.2">
      <c r="A151" t="s">
        <v>120</v>
      </c>
      <c r="B151" t="s">
        <v>130</v>
      </c>
      <c r="C151" t="str">
        <f>INDEX(NORMATIVOS!$C$131:$Z$131,1,MATCH($B$3,NORMATIVOS!$C$1:$Z$1,0))</f>
        <v>En proceso</v>
      </c>
      <c r="D151" t="str">
        <f>IFERROR(INDEX(CATALOGOS!$H$3:$H$6,MATCH(C151,CATALOGOS!$G$3:$G$6,0)),"")</f>
        <v>Mesociclo</v>
      </c>
      <c r="E151" t="str">
        <f>IFERROR(INDEX(CATALOGOS!$I$3:$I$6,MATCH(C151,CATALOGOS!$G$3:$G$6,0)),"")</f>
        <v>Desarrollar / consolidar</v>
      </c>
    </row>
    <row r="152" spans="1:5" x14ac:dyDescent="0.2">
      <c r="A152" t="s">
        <v>120</v>
      </c>
      <c r="B152" t="s">
        <v>131</v>
      </c>
      <c r="C152" t="str">
        <f>INDEX(NORMATIVOS!$C$132:$Z$132,1,MATCH($B$3,NORMATIVOS!$C$1:$Z$1,0))</f>
        <v>Consolidado</v>
      </c>
      <c r="D152" t="str">
        <f>IFERROR(INDEX(CATALOGOS!$H$3:$H$6,MATCH(C152,CATALOGOS!$G$3:$G$6,0)),"")</f>
        <v>Microciclo</v>
      </c>
      <c r="E152" t="str">
        <f>IFERROR(INDEX(CATALOGOS!$I$3:$I$6,MATCH(C152,CATALOGOS!$G$3:$G$6,0)),"")</f>
        <v>Mantener / perfeccionar</v>
      </c>
    </row>
    <row r="153" spans="1:5" x14ac:dyDescent="0.2">
      <c r="A153" t="s">
        <v>120</v>
      </c>
      <c r="B153" t="s">
        <v>302</v>
      </c>
      <c r="C153" t="str">
        <f>INDEX(NORMATIVOS!$C$133:$Z$133,1,MATCH($B$3,NORMATIVOS!$C$1:$Z$1,0))</f>
        <v>En proceso</v>
      </c>
      <c r="D153" t="str">
        <f>IFERROR(INDEX(CATALOGOS!$H$3:$H$6,MATCH(C153,CATALOGOS!$G$3:$G$6,0)),"")</f>
        <v>Mesociclo</v>
      </c>
      <c r="E153" t="str">
        <f>IFERROR(INDEX(CATALOGOS!$I$3:$I$6,MATCH(C153,CATALOGOS!$G$3:$G$6,0)),"")</f>
        <v>Desarrollar / consolidar</v>
      </c>
    </row>
    <row r="154" spans="1:5" x14ac:dyDescent="0.2">
      <c r="A154" t="s">
        <v>120</v>
      </c>
      <c r="B154" t="s">
        <v>303</v>
      </c>
      <c r="C154" t="str">
        <f>INDEX(NORMATIVOS!$C$134:$Z$134,1,MATCH($B$3,NORMATIVOS!$C$1:$Z$1,0))</f>
        <v>Consolidado</v>
      </c>
      <c r="D154" t="str">
        <f>IFERROR(INDEX(CATALOGOS!$H$3:$H$6,MATCH(C154,CATALOGOS!$G$3:$G$6,0)),"")</f>
        <v>Microciclo</v>
      </c>
      <c r="E154" t="str">
        <f>IFERROR(INDEX(CATALOGOS!$I$3:$I$6,MATCH(C154,CATALOGOS!$G$3:$G$6,0)),"")</f>
        <v>Mantener / perfeccionar</v>
      </c>
    </row>
    <row r="155" spans="1:5" x14ac:dyDescent="0.2">
      <c r="A155" t="s">
        <v>120</v>
      </c>
      <c r="B155" t="s">
        <v>134</v>
      </c>
      <c r="C155" t="str">
        <f>INDEX(NORMATIVOS!$C$135:$Z$135,1,MATCH($B$3,NORMATIVOS!$C$1:$Z$1,0))</f>
        <v>Proyección</v>
      </c>
      <c r="D155" t="str">
        <f>IFERROR(INDEX(CATALOGOS!$H$3:$H$6,MATCH(C155,CATALOGOS!$G$3:$G$6,0)),"")</f>
        <v>Macrociclo</v>
      </c>
      <c r="E155" t="str">
        <f>IFERROR(INDEX(CATALOGOS!$I$3:$I$6,MATCH(C155,CATALOGOS!$G$3:$G$6,0)),"")</f>
        <v>Iniciar / aprender</v>
      </c>
    </row>
    <row r="156" spans="1:5" x14ac:dyDescent="0.2">
      <c r="A156" t="s">
        <v>120</v>
      </c>
      <c r="B156" t="s">
        <v>135</v>
      </c>
      <c r="C156" t="str">
        <f>INDEX(NORMATIVOS!$C$136:$Z$136,1,MATCH($B$3,NORMATIVOS!$C$1:$Z$1,0))</f>
        <v>Proyección</v>
      </c>
      <c r="D156" t="str">
        <f>IFERROR(INDEX(CATALOGOS!$H$3:$H$6,MATCH(C156,CATALOGOS!$G$3:$G$6,0)),"")</f>
        <v>Macrociclo</v>
      </c>
      <c r="E156" t="str">
        <f>IFERROR(INDEX(CATALOGOS!$I$3:$I$6,MATCH(C156,CATALOGOS!$G$3:$G$6,0)),"")</f>
        <v>Iniciar / aprender</v>
      </c>
    </row>
    <row r="157" spans="1:5" x14ac:dyDescent="0.2">
      <c r="A157" t="s">
        <v>120</v>
      </c>
      <c r="B157" t="s">
        <v>136</v>
      </c>
      <c r="C157" t="str">
        <f>INDEX(NORMATIVOS!$C$137:$Z$137,1,MATCH($B$3,NORMATIVOS!$C$1:$Z$1,0))</f>
        <v>Proyección</v>
      </c>
      <c r="D157" t="str">
        <f>IFERROR(INDEX(CATALOGOS!$H$3:$H$6,MATCH(C157,CATALOGOS!$G$3:$G$6,0)),"")</f>
        <v>Macrociclo</v>
      </c>
      <c r="E157" t="str">
        <f>IFERROR(INDEX(CATALOGOS!$I$3:$I$6,MATCH(C157,CATALOGOS!$G$3:$G$6,0)),"")</f>
        <v>Iniciar / aprender</v>
      </c>
    </row>
    <row r="158" spans="1:5" x14ac:dyDescent="0.2">
      <c r="A158" t="s">
        <v>120</v>
      </c>
      <c r="B158" t="s">
        <v>137</v>
      </c>
      <c r="C158" t="str">
        <f>INDEX(NORMATIVOS!$C$138:$Z$138,1,MATCH($B$3,NORMATIVOS!$C$1:$Z$1,0))</f>
        <v>Proyección</v>
      </c>
      <c r="D158" t="str">
        <f>IFERROR(INDEX(CATALOGOS!$H$3:$H$6,MATCH(C158,CATALOGOS!$G$3:$G$6,0)),"")</f>
        <v>Macrociclo</v>
      </c>
      <c r="E158" t="str">
        <f>IFERROR(INDEX(CATALOGOS!$I$3:$I$6,MATCH(C158,CATALOGOS!$G$3:$G$6,0)),"")</f>
        <v>Iniciar / aprender</v>
      </c>
    </row>
    <row r="159" spans="1:5" x14ac:dyDescent="0.2">
      <c r="A159" t="s">
        <v>120</v>
      </c>
      <c r="B159" t="s">
        <v>138</v>
      </c>
      <c r="C159" t="str">
        <f>INDEX(NORMATIVOS!$C$139:$Z$139,1,MATCH($B$3,NORMATIVOS!$C$1:$Z$1,0))</f>
        <v>Proyección</v>
      </c>
      <c r="D159" t="str">
        <f>IFERROR(INDEX(CATALOGOS!$H$3:$H$6,MATCH(C159,CATALOGOS!$G$3:$G$6,0)),"")</f>
        <v>Macrociclo</v>
      </c>
      <c r="E159" t="str">
        <f>IFERROR(INDEX(CATALOGOS!$I$3:$I$6,MATCH(C159,CATALOGOS!$G$3:$G$6,0)),"")</f>
        <v>Iniciar / aprender</v>
      </c>
    </row>
    <row r="160" spans="1:5" x14ac:dyDescent="0.2">
      <c r="A160" t="s">
        <v>120</v>
      </c>
      <c r="B160" t="s">
        <v>139</v>
      </c>
      <c r="C160" t="str">
        <f>INDEX(NORMATIVOS!$C$140:$Z$140,1,MATCH($B$3,NORMATIVOS!$C$1:$Z$1,0))</f>
        <v>Proyección</v>
      </c>
      <c r="D160" t="str">
        <f>IFERROR(INDEX(CATALOGOS!$H$3:$H$6,MATCH(C160,CATALOGOS!$G$3:$G$6,0)),"")</f>
        <v>Macrociclo</v>
      </c>
      <c r="E160" t="str">
        <f>IFERROR(INDEX(CATALOGOS!$I$3:$I$6,MATCH(C160,CATALOGOS!$G$3:$G$6,0)),"")</f>
        <v>Iniciar / aprender</v>
      </c>
    </row>
    <row r="161" spans="1:5" x14ac:dyDescent="0.2">
      <c r="A161" t="s">
        <v>120</v>
      </c>
      <c r="B161" t="s">
        <v>140</v>
      </c>
      <c r="C161" t="str">
        <f>INDEX(NORMATIVOS!$C$141:$Z$141,1,MATCH($B$3,NORMATIVOS!$C$1:$Z$1,0))</f>
        <v>Proyección</v>
      </c>
      <c r="D161" t="str">
        <f>IFERROR(INDEX(CATALOGOS!$H$3:$H$6,MATCH(C161,CATALOGOS!$G$3:$G$6,0)),"")</f>
        <v>Macrociclo</v>
      </c>
      <c r="E161" t="str">
        <f>IFERROR(INDEX(CATALOGOS!$I$3:$I$6,MATCH(C161,CATALOGOS!$G$3:$G$6,0)),"")</f>
        <v>Iniciar / aprender</v>
      </c>
    </row>
    <row r="162" spans="1:5" x14ac:dyDescent="0.2">
      <c r="A162" t="s">
        <v>142</v>
      </c>
      <c r="B162" t="s">
        <v>143</v>
      </c>
      <c r="C162" t="str">
        <f>INDEX(NORMATIVOS!$C$144:$Z$144,1,MATCH($B$3,NORMATIVOS!$C$1:$Z$1,0))</f>
        <v>Consolidado</v>
      </c>
      <c r="D162" t="str">
        <f>IFERROR(INDEX(CATALOGOS!$H$3:$H$6,MATCH(C162,CATALOGOS!$G$3:$G$6,0)),"")</f>
        <v>Microciclo</v>
      </c>
      <c r="E162" t="str">
        <f>IFERROR(INDEX(CATALOGOS!$I$3:$I$6,MATCH(C162,CATALOGOS!$G$3:$G$6,0)),"")</f>
        <v>Mantener / perfeccionar</v>
      </c>
    </row>
    <row r="163" spans="1:5" x14ac:dyDescent="0.2">
      <c r="A163" t="s">
        <v>142</v>
      </c>
      <c r="B163" t="s">
        <v>304</v>
      </c>
      <c r="C163" t="str">
        <f>INDEX(NORMATIVOS!$C$145:$Z$145,1,MATCH($B$3,NORMATIVOS!$C$1:$Z$1,0))</f>
        <v>Consolidado</v>
      </c>
      <c r="D163" t="str">
        <f>IFERROR(INDEX(CATALOGOS!$H$3:$H$6,MATCH(C163,CATALOGOS!$G$3:$G$6,0)),"")</f>
        <v>Microciclo</v>
      </c>
      <c r="E163" t="str">
        <f>IFERROR(INDEX(CATALOGOS!$I$3:$I$6,MATCH(C163,CATALOGOS!$G$3:$G$6,0)),"")</f>
        <v>Mantener / perfeccionar</v>
      </c>
    </row>
    <row r="164" spans="1:5" x14ac:dyDescent="0.2">
      <c r="A164" t="s">
        <v>142</v>
      </c>
      <c r="B164" t="s">
        <v>305</v>
      </c>
      <c r="C164" t="str">
        <f>INDEX(NORMATIVOS!$C$146:$Z$146,1,MATCH($B$3,NORMATIVOS!$C$1:$Z$1,0))</f>
        <v>Consolidado</v>
      </c>
      <c r="D164" t="str">
        <f>IFERROR(INDEX(CATALOGOS!$H$3:$H$6,MATCH(C164,CATALOGOS!$G$3:$G$6,0)),"")</f>
        <v>Microciclo</v>
      </c>
      <c r="E164" t="str">
        <f>IFERROR(INDEX(CATALOGOS!$I$3:$I$6,MATCH(C164,CATALOGOS!$G$3:$G$6,0)),"")</f>
        <v>Mantener / perfeccionar</v>
      </c>
    </row>
    <row r="165" spans="1:5" x14ac:dyDescent="0.2">
      <c r="A165" t="s">
        <v>142</v>
      </c>
      <c r="B165" t="s">
        <v>146</v>
      </c>
      <c r="C165" t="str">
        <f>INDEX(NORMATIVOS!$C$147:$Z$147,1,MATCH($B$3,NORMATIVOS!$C$1:$Z$1,0))</f>
        <v>Consolidado</v>
      </c>
      <c r="D165" t="str">
        <f>IFERROR(INDEX(CATALOGOS!$H$3:$H$6,MATCH(C165,CATALOGOS!$G$3:$G$6,0)),"")</f>
        <v>Microciclo</v>
      </c>
      <c r="E165" t="str">
        <f>IFERROR(INDEX(CATALOGOS!$I$3:$I$6,MATCH(C165,CATALOGOS!$G$3:$G$6,0)),"")</f>
        <v>Mantener / perfeccionar</v>
      </c>
    </row>
    <row r="166" spans="1:5" x14ac:dyDescent="0.2">
      <c r="A166" t="s">
        <v>142</v>
      </c>
      <c r="B166" t="s">
        <v>147</v>
      </c>
      <c r="C166" t="str">
        <f>INDEX(NORMATIVOS!$C$148:$Z$148,1,MATCH($B$3,NORMATIVOS!$C$1:$Z$1,0))</f>
        <v>Consolidado</v>
      </c>
      <c r="D166" t="str">
        <f>IFERROR(INDEX(CATALOGOS!$H$3:$H$6,MATCH(C166,CATALOGOS!$G$3:$G$6,0)),"")</f>
        <v>Microciclo</v>
      </c>
      <c r="E166" t="str">
        <f>IFERROR(INDEX(CATALOGOS!$I$3:$I$6,MATCH(C166,CATALOGOS!$G$3:$G$6,0)),"")</f>
        <v>Mantener / perfeccionar</v>
      </c>
    </row>
    <row r="167" spans="1:5" x14ac:dyDescent="0.2">
      <c r="A167" t="s">
        <v>142</v>
      </c>
      <c r="B167" t="s">
        <v>148</v>
      </c>
      <c r="C167" t="str">
        <f>INDEX(NORMATIVOS!$C$149:$Z$149,1,MATCH($B$3,NORMATIVOS!$C$1:$Z$1,0))</f>
        <v>Consolidado</v>
      </c>
      <c r="D167" t="str">
        <f>IFERROR(INDEX(CATALOGOS!$H$3:$H$6,MATCH(C167,CATALOGOS!$G$3:$G$6,0)),"")</f>
        <v>Microciclo</v>
      </c>
      <c r="E167" t="str">
        <f>IFERROR(INDEX(CATALOGOS!$I$3:$I$6,MATCH(C167,CATALOGOS!$G$3:$G$6,0)),"")</f>
        <v>Mantener / perfeccionar</v>
      </c>
    </row>
    <row r="168" spans="1:5" x14ac:dyDescent="0.2">
      <c r="A168" t="s">
        <v>142</v>
      </c>
      <c r="B168" t="s">
        <v>149</v>
      </c>
      <c r="C168" t="str">
        <f>INDEX(NORMATIVOS!$C$150:$Z$150,1,MATCH($B$3,NORMATIVOS!$C$1:$Z$1,0))</f>
        <v>Consolidado</v>
      </c>
      <c r="D168" t="str">
        <f>IFERROR(INDEX(CATALOGOS!$H$3:$H$6,MATCH(C168,CATALOGOS!$G$3:$G$6,0)),"")</f>
        <v>Microciclo</v>
      </c>
      <c r="E168" t="str">
        <f>IFERROR(INDEX(CATALOGOS!$I$3:$I$6,MATCH(C168,CATALOGOS!$G$3:$G$6,0)),"")</f>
        <v>Mantener / perfeccionar</v>
      </c>
    </row>
    <row r="169" spans="1:5" x14ac:dyDescent="0.2">
      <c r="A169" t="s">
        <v>150</v>
      </c>
      <c r="B169" t="s">
        <v>151</v>
      </c>
      <c r="C169" t="str">
        <f>INDEX(NORMATIVOS!$C$151:$Z$151,1,MATCH($B$3,NORMATIVOS!$C$1:$Z$1,0))</f>
        <v>Consolidado</v>
      </c>
      <c r="D169" t="str">
        <f>IFERROR(INDEX(CATALOGOS!$H$3:$H$6,MATCH(C169,CATALOGOS!$G$3:$G$6,0)),"")</f>
        <v>Microciclo</v>
      </c>
      <c r="E169" t="str">
        <f>IFERROR(INDEX(CATALOGOS!$I$3:$I$6,MATCH(C169,CATALOGOS!$G$3:$G$6,0)),"")</f>
        <v>Mantener / perfeccionar</v>
      </c>
    </row>
    <row r="170" spans="1:5" x14ac:dyDescent="0.2">
      <c r="A170" t="s">
        <v>150</v>
      </c>
      <c r="B170" t="s">
        <v>21</v>
      </c>
      <c r="C170" t="str">
        <f>INDEX(NORMATIVOS!$C$152:$Z$152,1,MATCH($B$3,NORMATIVOS!$C$1:$Z$1,0))</f>
        <v>Consolidado</v>
      </c>
      <c r="D170" t="str">
        <f>IFERROR(INDEX(CATALOGOS!$H$3:$H$6,MATCH(C170,CATALOGOS!$G$3:$G$6,0)),"")</f>
        <v>Microciclo</v>
      </c>
      <c r="E170" t="str">
        <f>IFERROR(INDEX(CATALOGOS!$I$3:$I$6,MATCH(C170,CATALOGOS!$G$3:$G$6,0)),"")</f>
        <v>Mantener / perfeccionar</v>
      </c>
    </row>
    <row r="171" spans="1:5" x14ac:dyDescent="0.2">
      <c r="A171" t="s">
        <v>150</v>
      </c>
      <c r="B171" t="s">
        <v>152</v>
      </c>
      <c r="C171" t="str">
        <f>INDEX(NORMATIVOS!$C$153:$Z$153,1,MATCH($B$3,NORMATIVOS!$C$1:$Z$1,0))</f>
        <v>Consolidado</v>
      </c>
      <c r="D171" t="str">
        <f>IFERROR(INDEX(CATALOGOS!$H$3:$H$6,MATCH(C171,CATALOGOS!$G$3:$G$6,0)),"")</f>
        <v>Microciclo</v>
      </c>
      <c r="E171" t="str">
        <f>IFERROR(INDEX(CATALOGOS!$I$3:$I$6,MATCH(C171,CATALOGOS!$G$3:$G$6,0)),"")</f>
        <v>Mantener / perfeccionar</v>
      </c>
    </row>
    <row r="172" spans="1:5" x14ac:dyDescent="0.2">
      <c r="A172" t="s">
        <v>150</v>
      </c>
      <c r="B172" t="s">
        <v>153</v>
      </c>
      <c r="C172" t="str">
        <f>INDEX(NORMATIVOS!$C$154:$Z$154,1,MATCH($B$3,NORMATIVOS!$C$1:$Z$1,0))</f>
        <v>Consolidado</v>
      </c>
      <c r="D172" t="str">
        <f>IFERROR(INDEX(CATALOGOS!$H$3:$H$6,MATCH(C172,CATALOGOS!$G$3:$G$6,0)),"")</f>
        <v>Microciclo</v>
      </c>
      <c r="E172" t="str">
        <f>IFERROR(INDEX(CATALOGOS!$I$3:$I$6,MATCH(C172,CATALOGOS!$G$3:$G$6,0)),"")</f>
        <v>Mantener / perfeccionar</v>
      </c>
    </row>
    <row r="173" spans="1:5" x14ac:dyDescent="0.2">
      <c r="A173" t="s">
        <v>150</v>
      </c>
      <c r="B173" t="s">
        <v>154</v>
      </c>
      <c r="C173" t="str">
        <f>INDEX(NORMATIVOS!$C$155:$Z$155,1,MATCH($B$3,NORMATIVOS!$C$1:$Z$1,0))</f>
        <v>En proceso</v>
      </c>
      <c r="D173" t="str">
        <f>IFERROR(INDEX(CATALOGOS!$H$3:$H$6,MATCH(C173,CATALOGOS!$G$3:$G$6,0)),"")</f>
        <v>Mesociclo</v>
      </c>
      <c r="E173" t="str">
        <f>IFERROR(INDEX(CATALOGOS!$I$3:$I$6,MATCH(C173,CATALOGOS!$G$3:$G$6,0)),"")</f>
        <v>Desarrollar / consolidar</v>
      </c>
    </row>
    <row r="174" spans="1:5" x14ac:dyDescent="0.2">
      <c r="A174" t="s">
        <v>150</v>
      </c>
      <c r="B174" t="s">
        <v>155</v>
      </c>
      <c r="C174" t="str">
        <f>INDEX(NORMATIVOS!$C$156:$Z$156,1,MATCH($B$3,NORMATIVOS!$C$1:$Z$1,0))</f>
        <v>En proceso</v>
      </c>
      <c r="D174" t="str">
        <f>IFERROR(INDEX(CATALOGOS!$H$3:$H$6,MATCH(C174,CATALOGOS!$G$3:$G$6,0)),"")</f>
        <v>Mesociclo</v>
      </c>
      <c r="E174" t="str">
        <f>IFERROR(INDEX(CATALOGOS!$I$3:$I$6,MATCH(C174,CATALOGOS!$G$3:$G$6,0)),"")</f>
        <v>Desarrollar / consolidar</v>
      </c>
    </row>
    <row r="175" spans="1:5" x14ac:dyDescent="0.2">
      <c r="A175" t="s">
        <v>150</v>
      </c>
      <c r="B175" t="s">
        <v>156</v>
      </c>
      <c r="C175" t="str">
        <f>INDEX(NORMATIVOS!$C$157:$Z$157,1,MATCH($B$3,NORMATIVOS!$C$1:$Z$1,0))</f>
        <v>En proceso</v>
      </c>
      <c r="D175" t="str">
        <f>IFERROR(INDEX(CATALOGOS!$H$3:$H$6,MATCH(C175,CATALOGOS!$G$3:$G$6,0)),"")</f>
        <v>Mesociclo</v>
      </c>
      <c r="E175" t="str">
        <f>IFERROR(INDEX(CATALOGOS!$I$3:$I$6,MATCH(C175,CATALOGOS!$G$3:$G$6,0)),"")</f>
        <v>Desarrollar / consolidar</v>
      </c>
    </row>
    <row r="176" spans="1:5" x14ac:dyDescent="0.2">
      <c r="A176" t="s">
        <v>150</v>
      </c>
      <c r="B176" t="s">
        <v>157</v>
      </c>
      <c r="C176" t="str">
        <f>INDEX(NORMATIVOS!$C$158:$Z$158,1,MATCH($B$3,NORMATIVOS!$C$1:$Z$1,0))</f>
        <v>Proyección</v>
      </c>
      <c r="D176" t="str">
        <f>IFERROR(INDEX(CATALOGOS!$H$3:$H$6,MATCH(C176,CATALOGOS!$G$3:$G$6,0)),"")</f>
        <v>Macrociclo</v>
      </c>
      <c r="E176" t="str">
        <f>IFERROR(INDEX(CATALOGOS!$I$3:$I$6,MATCH(C176,CATALOGOS!$G$3:$G$6,0)),"")</f>
        <v>Iniciar / aprender</v>
      </c>
    </row>
    <row r="177" spans="1:5" x14ac:dyDescent="0.2">
      <c r="A177" t="s">
        <v>150</v>
      </c>
      <c r="B177" t="s">
        <v>306</v>
      </c>
      <c r="C177" t="str">
        <f>INDEX(NORMATIVOS!$C$159:$Z$159,1,MATCH($B$3,NORMATIVOS!$C$1:$Z$1,0))</f>
        <v>Proyección</v>
      </c>
      <c r="D177" t="str">
        <f>IFERROR(INDEX(CATALOGOS!$H$3:$H$6,MATCH(C177,CATALOGOS!$G$3:$G$6,0)),"")</f>
        <v>Macrociclo</v>
      </c>
      <c r="E177" t="str">
        <f>IFERROR(INDEX(CATALOGOS!$I$3:$I$6,MATCH(C177,CATALOGOS!$G$3:$G$6,0)),"")</f>
        <v>Iniciar / aprender</v>
      </c>
    </row>
    <row r="178" spans="1:5" x14ac:dyDescent="0.2">
      <c r="A178" t="s">
        <v>150</v>
      </c>
      <c r="B178" t="s">
        <v>159</v>
      </c>
      <c r="C178" t="str">
        <f>INDEX(NORMATIVOS!$C$160:$Z$160,1,MATCH($B$3,NORMATIVOS!$C$1:$Z$1,0))</f>
        <v>Proyección</v>
      </c>
      <c r="D178" t="str">
        <f>IFERROR(INDEX(CATALOGOS!$H$3:$H$6,MATCH(C178,CATALOGOS!$G$3:$G$6,0)),"")</f>
        <v>Macrociclo</v>
      </c>
      <c r="E178" t="str">
        <f>IFERROR(INDEX(CATALOGOS!$I$3:$I$6,MATCH(C178,CATALOGOS!$G$3:$G$6,0)),"")</f>
        <v>Iniciar / aprender</v>
      </c>
    </row>
    <row r="179" spans="1:5" x14ac:dyDescent="0.2">
      <c r="A179" t="s">
        <v>150</v>
      </c>
      <c r="B179" t="s">
        <v>160</v>
      </c>
      <c r="C179" t="str">
        <f>INDEX(NORMATIVOS!$C$161:$Z$161,1,MATCH($B$3,NORMATIVOS!$C$1:$Z$1,0))</f>
        <v>Proyección</v>
      </c>
      <c r="D179" t="str">
        <f>IFERROR(INDEX(CATALOGOS!$H$3:$H$6,MATCH(C179,CATALOGOS!$G$3:$G$6,0)),"")</f>
        <v>Macrociclo</v>
      </c>
      <c r="E179" t="str">
        <f>IFERROR(INDEX(CATALOGOS!$I$3:$I$6,MATCH(C179,CATALOGOS!$G$3:$G$6,0)),"")</f>
        <v>Iniciar / aprender</v>
      </c>
    </row>
    <row r="180" spans="1:5" x14ac:dyDescent="0.2">
      <c r="A180" t="s">
        <v>150</v>
      </c>
      <c r="B180" t="s">
        <v>161</v>
      </c>
      <c r="C180" t="str">
        <f>INDEX(NORMATIVOS!$C$162:$Z$162,1,MATCH($B$3,NORMATIVOS!$C$1:$Z$1,0))</f>
        <v>Proyección</v>
      </c>
      <c r="D180" t="str">
        <f>IFERROR(INDEX(CATALOGOS!$H$3:$H$6,MATCH(C180,CATALOGOS!$G$3:$G$6,0)),"")</f>
        <v>Macrociclo</v>
      </c>
      <c r="E180" t="str">
        <f>IFERROR(INDEX(CATALOGOS!$I$3:$I$6,MATCH(C180,CATALOGOS!$G$3:$G$6,0)),"")</f>
        <v>Iniciar / aprender</v>
      </c>
    </row>
    <row r="181" spans="1:5" x14ac:dyDescent="0.2">
      <c r="A181" t="s">
        <v>150</v>
      </c>
      <c r="B181" t="s">
        <v>162</v>
      </c>
      <c r="C181" t="str">
        <f>INDEX(NORMATIVOS!$C$163:$Z$163,1,MATCH($B$3,NORMATIVOS!$C$1:$Z$1,0))</f>
        <v>Proyección</v>
      </c>
      <c r="D181" t="str">
        <f>IFERROR(INDEX(CATALOGOS!$H$3:$H$6,MATCH(C181,CATALOGOS!$G$3:$G$6,0)),"")</f>
        <v>Macrociclo</v>
      </c>
      <c r="E181" t="str">
        <f>IFERROR(INDEX(CATALOGOS!$I$3:$I$6,MATCH(C181,CATALOGOS!$G$3:$G$6,0)),"")</f>
        <v>Iniciar / aprender</v>
      </c>
    </row>
    <row r="182" spans="1:5" x14ac:dyDescent="0.2">
      <c r="A182" t="s">
        <v>150</v>
      </c>
      <c r="B182" t="s">
        <v>163</v>
      </c>
      <c r="C182" t="str">
        <f>INDEX(NORMATIVOS!$C$164:$Z$164,1,MATCH($B$3,NORMATIVOS!$C$1:$Z$1,0))</f>
        <v>Proyección</v>
      </c>
      <c r="D182" t="str">
        <f>IFERROR(INDEX(CATALOGOS!$H$3:$H$6,MATCH(C182,CATALOGOS!$G$3:$G$6,0)),"")</f>
        <v>Macrociclo</v>
      </c>
      <c r="E182" t="str">
        <f>IFERROR(INDEX(CATALOGOS!$I$3:$I$6,MATCH(C182,CATALOGOS!$G$3:$G$6,0)),"")</f>
        <v>Iniciar / aprender</v>
      </c>
    </row>
    <row r="183" spans="1:5" x14ac:dyDescent="0.2">
      <c r="A183" t="s">
        <v>150</v>
      </c>
      <c r="B183" t="s">
        <v>164</v>
      </c>
      <c r="C183" t="str">
        <f>INDEX(NORMATIVOS!$C$165:$Z$165,1,MATCH($B$3,NORMATIVOS!$C$1:$Z$1,0))</f>
        <v>Proyección</v>
      </c>
      <c r="D183" t="str">
        <f>IFERROR(INDEX(CATALOGOS!$H$3:$H$6,MATCH(C183,CATALOGOS!$G$3:$G$6,0)),"")</f>
        <v>Macrociclo</v>
      </c>
      <c r="E183" t="str">
        <f>IFERROR(INDEX(CATALOGOS!$I$3:$I$6,MATCH(C183,CATALOGOS!$G$3:$G$6,0)),"")</f>
        <v>Iniciar / aprender</v>
      </c>
    </row>
    <row r="184" spans="1:5" x14ac:dyDescent="0.2">
      <c r="A184" t="s">
        <v>150</v>
      </c>
      <c r="B184" t="s">
        <v>165</v>
      </c>
      <c r="C184" t="str">
        <f>INDEX(NORMATIVOS!$C$166:$Z$166,1,MATCH($B$3,NORMATIVOS!$C$1:$Z$1,0))</f>
        <v>Proyección</v>
      </c>
      <c r="D184" t="str">
        <f>IFERROR(INDEX(CATALOGOS!$H$3:$H$6,MATCH(C184,CATALOGOS!$G$3:$G$6,0)),"")</f>
        <v>Macrociclo</v>
      </c>
      <c r="E184" t="str">
        <f>IFERROR(INDEX(CATALOGOS!$I$3:$I$6,MATCH(C184,CATALOGOS!$G$3:$G$6,0)),"")</f>
        <v>Iniciar / aprender</v>
      </c>
    </row>
    <row r="185" spans="1:5" x14ac:dyDescent="0.2">
      <c r="A185" t="s">
        <v>150</v>
      </c>
      <c r="B185" t="s">
        <v>166</v>
      </c>
      <c r="C185" t="str">
        <f>INDEX(NORMATIVOS!$C$167:$Z$167,1,MATCH($B$3,NORMATIVOS!$C$1:$Z$1,0))</f>
        <v>Proyección</v>
      </c>
      <c r="D185" t="str">
        <f>IFERROR(INDEX(CATALOGOS!$H$3:$H$6,MATCH(C185,CATALOGOS!$G$3:$G$6,0)),"")</f>
        <v>Macrociclo</v>
      </c>
      <c r="E185" t="str">
        <f>IFERROR(INDEX(CATALOGOS!$I$3:$I$6,MATCH(C185,CATALOGOS!$G$3:$G$6,0)),"")</f>
        <v>Iniciar / aprender</v>
      </c>
    </row>
    <row r="186" spans="1:5" x14ac:dyDescent="0.2">
      <c r="A186" t="s">
        <v>150</v>
      </c>
      <c r="B186" t="s">
        <v>167</v>
      </c>
      <c r="C186" t="str">
        <f>INDEX(NORMATIVOS!$C$168:$Z$168,1,MATCH($B$3,NORMATIVOS!$C$1:$Z$1,0))</f>
        <v>Proyección</v>
      </c>
      <c r="D186" t="str">
        <f>IFERROR(INDEX(CATALOGOS!$H$3:$H$6,MATCH(C186,CATALOGOS!$G$3:$G$6,0)),"")</f>
        <v>Macrociclo</v>
      </c>
      <c r="E186" t="str">
        <f>IFERROR(INDEX(CATALOGOS!$I$3:$I$6,MATCH(C186,CATALOGOS!$G$3:$G$6,0)),"")</f>
        <v>Iniciar / aprender</v>
      </c>
    </row>
    <row r="187" spans="1:5" x14ac:dyDescent="0.2">
      <c r="A187" t="s">
        <v>150</v>
      </c>
      <c r="B187" t="s">
        <v>168</v>
      </c>
      <c r="C187" t="str">
        <f>INDEX(NORMATIVOS!$C$169:$Z$169,1,MATCH($B$3,NORMATIVOS!$C$1:$Z$1,0))</f>
        <v>Proyección</v>
      </c>
      <c r="D187" t="str">
        <f>IFERROR(INDEX(CATALOGOS!$H$3:$H$6,MATCH(C187,CATALOGOS!$G$3:$G$6,0)),"")</f>
        <v>Macrociclo</v>
      </c>
      <c r="E187" t="str">
        <f>IFERROR(INDEX(CATALOGOS!$I$3:$I$6,MATCH(C187,CATALOGOS!$G$3:$G$6,0)),"")</f>
        <v>Iniciar / aprender</v>
      </c>
    </row>
    <row r="188" spans="1:5" x14ac:dyDescent="0.2">
      <c r="A188" t="s">
        <v>150</v>
      </c>
      <c r="B188" t="s">
        <v>169</v>
      </c>
      <c r="C188" t="str">
        <f>INDEX(NORMATIVOS!$C$170:$Z$170,1,MATCH($B$3,NORMATIVOS!$C$1:$Z$1,0))</f>
        <v>Proyección</v>
      </c>
      <c r="D188" t="str">
        <f>IFERROR(INDEX(CATALOGOS!$H$3:$H$6,MATCH(C188,CATALOGOS!$G$3:$G$6,0)),"")</f>
        <v>Macrociclo</v>
      </c>
      <c r="E188" t="str">
        <f>IFERROR(INDEX(CATALOGOS!$I$3:$I$6,MATCH(C188,CATALOGOS!$G$3:$G$6,0)),"")</f>
        <v>Iniciar / aprender</v>
      </c>
    </row>
    <row r="189" spans="1:5" x14ac:dyDescent="0.2">
      <c r="A189" t="s">
        <v>150</v>
      </c>
      <c r="B189" t="s">
        <v>170</v>
      </c>
      <c r="C189" t="str">
        <f>INDEX(NORMATIVOS!$C$171:$Z$171,1,MATCH($B$3,NORMATIVOS!$C$1:$Z$1,0))</f>
        <v>Proyección</v>
      </c>
      <c r="D189" t="str">
        <f>IFERROR(INDEX(CATALOGOS!$H$3:$H$6,MATCH(C189,CATALOGOS!$G$3:$G$6,0)),"")</f>
        <v>Macrociclo</v>
      </c>
      <c r="E189" t="str">
        <f>IFERROR(INDEX(CATALOGOS!$I$3:$I$6,MATCH(C189,CATALOGOS!$G$3:$G$6,0)),"")</f>
        <v>Iniciar / aprender</v>
      </c>
    </row>
    <row r="190" spans="1:5" x14ac:dyDescent="0.2">
      <c r="A190" t="s">
        <v>150</v>
      </c>
      <c r="B190" t="s">
        <v>171</v>
      </c>
      <c r="C190" t="str">
        <f>INDEX(NORMATIVOS!$C$172:$Z$172,1,MATCH($B$3,NORMATIVOS!$C$1:$Z$1,0))</f>
        <v>Proyección</v>
      </c>
      <c r="D190" t="str">
        <f>IFERROR(INDEX(CATALOGOS!$H$3:$H$6,MATCH(C190,CATALOGOS!$G$3:$G$6,0)),"")</f>
        <v>Macrociclo</v>
      </c>
      <c r="E190" t="str">
        <f>IFERROR(INDEX(CATALOGOS!$I$3:$I$6,MATCH(C190,CATALOGOS!$G$3:$G$6,0)),"")</f>
        <v>Iniciar / aprender</v>
      </c>
    </row>
    <row r="191" spans="1:5" x14ac:dyDescent="0.2">
      <c r="A191" t="s">
        <v>278</v>
      </c>
      <c r="B191" t="s">
        <v>174</v>
      </c>
      <c r="C191" t="str">
        <f>INDEX(NORMATIVOS!$C$175:$Z$175,1,MATCH($B$3,NORMATIVOS!$C$1:$Z$1,0))</f>
        <v>Consolidado</v>
      </c>
      <c r="D191" t="str">
        <f>IFERROR(INDEX(CATALOGOS!$H$3:$H$6,MATCH(C191,CATALOGOS!$G$3:$G$6,0)),"")</f>
        <v>Microciclo</v>
      </c>
      <c r="E191" t="str">
        <f>IFERROR(INDEX(CATALOGOS!$I$3:$I$6,MATCH(C191,CATALOGOS!$G$3:$G$6,0)),"")</f>
        <v>Mantener / perfeccionar</v>
      </c>
    </row>
    <row r="192" spans="1:5" x14ac:dyDescent="0.2">
      <c r="A192" t="s">
        <v>278</v>
      </c>
      <c r="B192" t="s">
        <v>307</v>
      </c>
      <c r="C192" t="str">
        <f>INDEX(NORMATIVOS!$C$176:$Z$176,1,MATCH($B$3,NORMATIVOS!$C$1:$Z$1,0))</f>
        <v>Consolidado</v>
      </c>
      <c r="D192" t="str">
        <f>IFERROR(INDEX(CATALOGOS!$H$3:$H$6,MATCH(C192,CATALOGOS!$G$3:$G$6,0)),"")</f>
        <v>Microciclo</v>
      </c>
      <c r="E192" t="str">
        <f>IFERROR(INDEX(CATALOGOS!$I$3:$I$6,MATCH(C192,CATALOGOS!$G$3:$G$6,0)),"")</f>
        <v>Mantener / perfeccionar</v>
      </c>
    </row>
    <row r="193" spans="1:5" x14ac:dyDescent="0.2">
      <c r="A193" t="s">
        <v>278</v>
      </c>
      <c r="B193" t="s">
        <v>308</v>
      </c>
      <c r="C193" t="str">
        <f>INDEX(NORMATIVOS!$C$177:$Z$177,1,MATCH($B$3,NORMATIVOS!$C$1:$Z$1,0))</f>
        <v>Consolidado</v>
      </c>
      <c r="D193" t="str">
        <f>IFERROR(INDEX(CATALOGOS!$H$3:$H$6,MATCH(C193,CATALOGOS!$G$3:$G$6,0)),"")</f>
        <v>Microciclo</v>
      </c>
      <c r="E193" t="str">
        <f>IFERROR(INDEX(CATALOGOS!$I$3:$I$6,MATCH(C193,CATALOGOS!$G$3:$G$6,0)),"")</f>
        <v>Mantener / perfeccionar</v>
      </c>
    </row>
    <row r="194" spans="1:5" x14ac:dyDescent="0.2">
      <c r="A194" t="s">
        <v>278</v>
      </c>
      <c r="B194" t="s">
        <v>177</v>
      </c>
      <c r="C194" t="str">
        <f>INDEX(NORMATIVOS!$C$178:$Z$178,1,MATCH($B$3,NORMATIVOS!$C$1:$Z$1,0))</f>
        <v>Consolidado</v>
      </c>
      <c r="D194" t="str">
        <f>IFERROR(INDEX(CATALOGOS!$H$3:$H$6,MATCH(C194,CATALOGOS!$G$3:$G$6,0)),"")</f>
        <v>Microciclo</v>
      </c>
      <c r="E194" t="str">
        <f>IFERROR(INDEX(CATALOGOS!$I$3:$I$6,MATCH(C194,CATALOGOS!$G$3:$G$6,0)),"")</f>
        <v>Mantener / perfeccionar</v>
      </c>
    </row>
    <row r="195" spans="1:5" x14ac:dyDescent="0.2">
      <c r="A195" t="s">
        <v>278</v>
      </c>
      <c r="B195" t="s">
        <v>178</v>
      </c>
      <c r="C195" t="str">
        <f>INDEX(NORMATIVOS!$C$179:$Z$179,1,MATCH($B$3,NORMATIVOS!$C$1:$Z$1,0))</f>
        <v>Consolidado</v>
      </c>
      <c r="D195" t="str">
        <f>IFERROR(INDEX(CATALOGOS!$H$3:$H$6,MATCH(C195,CATALOGOS!$G$3:$G$6,0)),"")</f>
        <v>Microciclo</v>
      </c>
      <c r="E195" t="str">
        <f>IFERROR(INDEX(CATALOGOS!$I$3:$I$6,MATCH(C195,CATALOGOS!$G$3:$G$6,0)),"")</f>
        <v>Mantener / perfeccionar</v>
      </c>
    </row>
    <row r="196" spans="1:5" x14ac:dyDescent="0.2">
      <c r="A196" t="s">
        <v>278</v>
      </c>
      <c r="B196" t="s">
        <v>124</v>
      </c>
      <c r="C196" t="str">
        <f>INDEX(NORMATIVOS!$C$180:$Z$180,1,MATCH($B$3,NORMATIVOS!$C$1:$Z$1,0))</f>
        <v>Consolidado</v>
      </c>
      <c r="D196" t="str">
        <f>IFERROR(INDEX(CATALOGOS!$H$3:$H$6,MATCH(C196,CATALOGOS!$G$3:$G$6,0)),"")</f>
        <v>Microciclo</v>
      </c>
      <c r="E196" t="str">
        <f>IFERROR(INDEX(CATALOGOS!$I$3:$I$6,MATCH(C196,CATALOGOS!$G$3:$G$6,0)),"")</f>
        <v>Mantener / perfeccionar</v>
      </c>
    </row>
    <row r="197" spans="1:5" x14ac:dyDescent="0.2">
      <c r="A197" t="s">
        <v>278</v>
      </c>
      <c r="B197" t="s">
        <v>179</v>
      </c>
      <c r="C197" t="str">
        <f>INDEX(NORMATIVOS!$C$181:$Z$181,1,MATCH($B$3,NORMATIVOS!$C$1:$Z$1,0))</f>
        <v>Consolidado</v>
      </c>
      <c r="D197" t="str">
        <f>IFERROR(INDEX(CATALOGOS!$H$3:$H$6,MATCH(C197,CATALOGOS!$G$3:$G$6,0)),"")</f>
        <v>Microciclo</v>
      </c>
      <c r="E197" t="str">
        <f>IFERROR(INDEX(CATALOGOS!$I$3:$I$6,MATCH(C197,CATALOGOS!$G$3:$G$6,0)),"")</f>
        <v>Mantener / perfeccionar</v>
      </c>
    </row>
    <row r="198" spans="1:5" x14ac:dyDescent="0.2">
      <c r="A198" t="s">
        <v>278</v>
      </c>
      <c r="B198" t="s">
        <v>180</v>
      </c>
      <c r="C198" t="str">
        <f>INDEX(NORMATIVOS!$C$182:$Z$182,1,MATCH($B$3,NORMATIVOS!$C$1:$Z$1,0))</f>
        <v>Consolidado</v>
      </c>
      <c r="D198" t="str">
        <f>IFERROR(INDEX(CATALOGOS!$H$3:$H$6,MATCH(C198,CATALOGOS!$G$3:$G$6,0)),"")</f>
        <v>Microciclo</v>
      </c>
      <c r="E198" t="str">
        <f>IFERROR(INDEX(CATALOGOS!$I$3:$I$6,MATCH(C198,CATALOGOS!$G$3:$G$6,0)),"")</f>
        <v>Mantener / perfeccionar</v>
      </c>
    </row>
    <row r="199" spans="1:5" x14ac:dyDescent="0.2">
      <c r="A199" t="s">
        <v>278</v>
      </c>
      <c r="B199" t="s">
        <v>181</v>
      </c>
      <c r="C199" t="str">
        <f>INDEX(NORMATIVOS!$C$183:$Z$183,1,MATCH($B$3,NORMATIVOS!$C$1:$Z$1,0))</f>
        <v>Consolidado</v>
      </c>
      <c r="D199" t="str">
        <f>IFERROR(INDEX(CATALOGOS!$H$3:$H$6,MATCH(C199,CATALOGOS!$G$3:$G$6,0)),"")</f>
        <v>Microciclo</v>
      </c>
      <c r="E199" t="str">
        <f>IFERROR(INDEX(CATALOGOS!$I$3:$I$6,MATCH(C199,CATALOGOS!$G$3:$G$6,0)),"")</f>
        <v>Mantener / perfeccionar</v>
      </c>
    </row>
    <row r="200" spans="1:5" x14ac:dyDescent="0.2">
      <c r="A200" t="s">
        <v>278</v>
      </c>
      <c r="B200" t="s">
        <v>182</v>
      </c>
      <c r="C200" t="str">
        <f>INDEX(NORMATIVOS!$C$184:$Z$184,1,MATCH($B$3,NORMATIVOS!$C$1:$Z$1,0))</f>
        <v>Proyección</v>
      </c>
      <c r="D200" t="str">
        <f>IFERROR(INDEX(CATALOGOS!$H$3:$H$6,MATCH(C200,CATALOGOS!$G$3:$G$6,0)),"")</f>
        <v>Macrociclo</v>
      </c>
      <c r="E200" t="str">
        <f>IFERROR(INDEX(CATALOGOS!$I$3:$I$6,MATCH(C200,CATALOGOS!$G$3:$G$6,0)),"")</f>
        <v>Iniciar / aprender</v>
      </c>
    </row>
    <row r="201" spans="1:5" x14ac:dyDescent="0.2">
      <c r="A201" t="s">
        <v>278</v>
      </c>
      <c r="B201" t="s">
        <v>183</v>
      </c>
      <c r="C201" t="str">
        <f>INDEX(NORMATIVOS!$C$185:$Z$185,1,MATCH($B$3,NORMATIVOS!$C$1:$Z$1,0))</f>
        <v>Proyección</v>
      </c>
      <c r="D201" t="str">
        <f>IFERROR(INDEX(CATALOGOS!$H$3:$H$6,MATCH(C201,CATALOGOS!$G$3:$G$6,0)),"")</f>
        <v>Macrociclo</v>
      </c>
      <c r="E201" t="str">
        <f>IFERROR(INDEX(CATALOGOS!$I$3:$I$6,MATCH(C201,CATALOGOS!$G$3:$G$6,0)),"")</f>
        <v>Iniciar / aprender</v>
      </c>
    </row>
    <row r="202" spans="1:5" x14ac:dyDescent="0.2">
      <c r="A202" t="s">
        <v>278</v>
      </c>
      <c r="B202" t="s">
        <v>184</v>
      </c>
      <c r="C202" t="str">
        <f>INDEX(NORMATIVOS!$C$186:$Z$186,1,MATCH($B$3,NORMATIVOS!$C$1:$Z$1,0))</f>
        <v>Proyección</v>
      </c>
      <c r="D202" t="str">
        <f>IFERROR(INDEX(CATALOGOS!$H$3:$H$6,MATCH(C202,CATALOGOS!$G$3:$G$6,0)),"")</f>
        <v>Macrociclo</v>
      </c>
      <c r="E202" t="str">
        <f>IFERROR(INDEX(CATALOGOS!$I$3:$I$6,MATCH(C202,CATALOGOS!$G$3:$G$6,0)),"")</f>
        <v>Iniciar / aprender</v>
      </c>
    </row>
    <row r="203" spans="1:5" x14ac:dyDescent="0.2">
      <c r="A203" t="s">
        <v>278</v>
      </c>
      <c r="B203" t="s">
        <v>135</v>
      </c>
      <c r="C203" t="str">
        <f>INDEX(NORMATIVOS!$C$187:$Z$187,1,MATCH($B$3,NORMATIVOS!$C$1:$Z$1,0))</f>
        <v>Proyección</v>
      </c>
      <c r="D203" t="str">
        <f>IFERROR(INDEX(CATALOGOS!$H$3:$H$6,MATCH(C203,CATALOGOS!$G$3:$G$6,0)),"")</f>
        <v>Macrociclo</v>
      </c>
      <c r="E203" t="str">
        <f>IFERROR(INDEX(CATALOGOS!$I$3:$I$6,MATCH(C203,CATALOGOS!$G$3:$G$6,0)),"")</f>
        <v>Iniciar / aprender</v>
      </c>
    </row>
    <row r="204" spans="1:5" x14ac:dyDescent="0.2">
      <c r="A204" t="s">
        <v>278</v>
      </c>
      <c r="B204" t="s">
        <v>185</v>
      </c>
      <c r="C204" t="str">
        <f>INDEX(NORMATIVOS!$C$188:$Z$188,1,MATCH($B$3,NORMATIVOS!$C$1:$Z$1,0))</f>
        <v>Proyección</v>
      </c>
      <c r="D204" t="str">
        <f>IFERROR(INDEX(CATALOGOS!$H$3:$H$6,MATCH(C204,CATALOGOS!$G$3:$G$6,0)),"")</f>
        <v>Macrociclo</v>
      </c>
      <c r="E204" t="str">
        <f>IFERROR(INDEX(CATALOGOS!$I$3:$I$6,MATCH(C204,CATALOGOS!$G$3:$G$6,0)),"")</f>
        <v>Iniciar / aprender</v>
      </c>
    </row>
    <row r="205" spans="1:5" x14ac:dyDescent="0.2">
      <c r="A205" t="s">
        <v>278</v>
      </c>
      <c r="B205" t="s">
        <v>186</v>
      </c>
      <c r="C205" t="str">
        <f>INDEX(NORMATIVOS!$C$189:$Z$189,1,MATCH($B$3,NORMATIVOS!$C$1:$Z$1,0))</f>
        <v>Proyección</v>
      </c>
      <c r="D205" t="str">
        <f>IFERROR(INDEX(CATALOGOS!$H$3:$H$6,MATCH(C205,CATALOGOS!$G$3:$G$6,0)),"")</f>
        <v>Macrociclo</v>
      </c>
      <c r="E205" t="str">
        <f>IFERROR(INDEX(CATALOGOS!$I$3:$I$6,MATCH(C205,CATALOGOS!$G$3:$G$6,0)),"")</f>
        <v>Iniciar / aprender</v>
      </c>
    </row>
    <row r="206" spans="1:5" x14ac:dyDescent="0.2">
      <c r="A206" t="s">
        <v>278</v>
      </c>
      <c r="B206" t="s">
        <v>187</v>
      </c>
      <c r="C206" t="str">
        <f>INDEX(NORMATIVOS!$C$190:$Z$190,1,MATCH($B$3,NORMATIVOS!$C$1:$Z$1,0))</f>
        <v>Proyección</v>
      </c>
      <c r="D206" t="str">
        <f>IFERROR(INDEX(CATALOGOS!$H$3:$H$6,MATCH(C206,CATALOGOS!$G$3:$G$6,0)),"")</f>
        <v>Macrociclo</v>
      </c>
      <c r="E206" t="str">
        <f>IFERROR(INDEX(CATALOGOS!$I$3:$I$6,MATCH(C206,CATALOGOS!$G$3:$G$6,0)),"")</f>
        <v>Iniciar / aprender</v>
      </c>
    </row>
    <row r="207" spans="1:5" x14ac:dyDescent="0.2">
      <c r="A207" t="s">
        <v>278</v>
      </c>
      <c r="B207" t="s">
        <v>188</v>
      </c>
      <c r="C207" t="str">
        <f>INDEX(NORMATIVOS!$C$191:$Z$191,1,MATCH($B$3,NORMATIVOS!$C$1:$Z$1,0))</f>
        <v>Proyección</v>
      </c>
      <c r="D207" t="str">
        <f>IFERROR(INDEX(CATALOGOS!$H$3:$H$6,MATCH(C207,CATALOGOS!$G$3:$G$6,0)),"")</f>
        <v>Macrociclo</v>
      </c>
      <c r="E207" t="str">
        <f>IFERROR(INDEX(CATALOGOS!$I$3:$I$6,MATCH(C207,CATALOGOS!$G$3:$G$6,0)),"")</f>
        <v>Iniciar / aprender</v>
      </c>
    </row>
    <row r="208" spans="1:5" x14ac:dyDescent="0.2">
      <c r="A208" t="s">
        <v>278</v>
      </c>
      <c r="B208" t="s">
        <v>189</v>
      </c>
      <c r="C208" t="str">
        <f>INDEX(NORMATIVOS!$C$192:$Z$192,1,MATCH($B$3,NORMATIVOS!$C$1:$Z$1,0))</f>
        <v>Proyección</v>
      </c>
      <c r="D208" t="str">
        <f>IFERROR(INDEX(CATALOGOS!$H$3:$H$6,MATCH(C208,CATALOGOS!$G$3:$G$6,0)),"")</f>
        <v>Macrociclo</v>
      </c>
      <c r="E208" t="str">
        <f>IFERROR(INDEX(CATALOGOS!$I$3:$I$6,MATCH(C208,CATALOGOS!$G$3:$G$6,0)),"")</f>
        <v>Iniciar / aprender</v>
      </c>
    </row>
    <row r="209" spans="1:5" x14ac:dyDescent="0.2">
      <c r="A209" t="s">
        <v>190</v>
      </c>
      <c r="B209" t="s">
        <v>191</v>
      </c>
      <c r="C209" t="str">
        <f>INDEX(NORMATIVOS!$C$193:$Z$193,1,MATCH($B$3,NORMATIVOS!$C$1:$Z$1,0))</f>
        <v>Consolidado</v>
      </c>
      <c r="D209" t="str">
        <f>IFERROR(INDEX(CATALOGOS!$H$3:$H$6,MATCH(C209,CATALOGOS!$G$3:$G$6,0)),"")</f>
        <v>Microciclo</v>
      </c>
      <c r="E209" t="str">
        <f>IFERROR(INDEX(CATALOGOS!$I$3:$I$6,MATCH(C209,CATALOGOS!$G$3:$G$6,0)),"")</f>
        <v>Mantener / perfeccionar</v>
      </c>
    </row>
    <row r="210" spans="1:5" x14ac:dyDescent="0.2">
      <c r="A210" t="s">
        <v>190</v>
      </c>
      <c r="B210" t="s">
        <v>112</v>
      </c>
      <c r="C210" t="str">
        <f>INDEX(NORMATIVOS!$C$194:$Z$194,1,MATCH($B$3,NORMATIVOS!$C$1:$Z$1,0))</f>
        <v>Consolidado</v>
      </c>
      <c r="D210" t="str">
        <f>IFERROR(INDEX(CATALOGOS!$H$3:$H$6,MATCH(C210,CATALOGOS!$G$3:$G$6,0)),"")</f>
        <v>Microciclo</v>
      </c>
      <c r="E210" t="str">
        <f>IFERROR(INDEX(CATALOGOS!$I$3:$I$6,MATCH(C210,CATALOGOS!$G$3:$G$6,0)),"")</f>
        <v>Mantener / perfeccionar</v>
      </c>
    </row>
    <row r="211" spans="1:5" x14ac:dyDescent="0.2">
      <c r="A211" t="s">
        <v>190</v>
      </c>
      <c r="B211" t="s">
        <v>13</v>
      </c>
      <c r="C211" t="str">
        <f>INDEX(NORMATIVOS!$C$195:$Z$195,1,MATCH($B$3,NORMATIVOS!$C$1:$Z$1,0))</f>
        <v>Consolidado</v>
      </c>
      <c r="D211" t="str">
        <f>IFERROR(INDEX(CATALOGOS!$H$3:$H$6,MATCH(C211,CATALOGOS!$G$3:$G$6,0)),"")</f>
        <v>Microciclo</v>
      </c>
      <c r="E211" t="str">
        <f>IFERROR(INDEX(CATALOGOS!$I$3:$I$6,MATCH(C211,CATALOGOS!$G$3:$G$6,0)),"")</f>
        <v>Mantener / perfeccionar</v>
      </c>
    </row>
    <row r="212" spans="1:5" x14ac:dyDescent="0.2">
      <c r="A212" t="s">
        <v>190</v>
      </c>
      <c r="B212" t="s">
        <v>174</v>
      </c>
      <c r="C212" t="str">
        <f>INDEX(NORMATIVOS!$C$196:$Z$196,1,MATCH($B$3,NORMATIVOS!$C$1:$Z$1,0))</f>
        <v>Consolidado</v>
      </c>
      <c r="D212" t="str">
        <f>IFERROR(INDEX(CATALOGOS!$H$3:$H$6,MATCH(C212,CATALOGOS!$G$3:$G$6,0)),"")</f>
        <v>Microciclo</v>
      </c>
      <c r="E212" t="str">
        <f>IFERROR(INDEX(CATALOGOS!$I$3:$I$6,MATCH(C212,CATALOGOS!$G$3:$G$6,0)),"")</f>
        <v>Mantener / perfeccionar</v>
      </c>
    </row>
    <row r="213" spans="1:5" x14ac:dyDescent="0.2">
      <c r="A213" t="s">
        <v>190</v>
      </c>
      <c r="B213" t="s">
        <v>307</v>
      </c>
      <c r="C213" t="str">
        <f>INDEX(NORMATIVOS!$C$197:$Z$197,1,MATCH($B$3,NORMATIVOS!$C$1:$Z$1,0))</f>
        <v>Consolidado</v>
      </c>
      <c r="D213" t="str">
        <f>IFERROR(INDEX(CATALOGOS!$H$3:$H$6,MATCH(C213,CATALOGOS!$G$3:$G$6,0)),"")</f>
        <v>Microciclo</v>
      </c>
      <c r="E213" t="str">
        <f>IFERROR(INDEX(CATALOGOS!$I$3:$I$6,MATCH(C213,CATALOGOS!$G$3:$G$6,0)),"")</f>
        <v>Mantener / perfeccionar</v>
      </c>
    </row>
    <row r="214" spans="1:5" x14ac:dyDescent="0.2">
      <c r="A214" t="s">
        <v>190</v>
      </c>
      <c r="B214" t="s">
        <v>193</v>
      </c>
      <c r="C214" t="str">
        <f>INDEX(NORMATIVOS!$C$198:$Z$198,1,MATCH($B$3,NORMATIVOS!$C$1:$Z$1,0))</f>
        <v>Consolidado</v>
      </c>
      <c r="D214" t="str">
        <f>IFERROR(INDEX(CATALOGOS!$H$3:$H$6,MATCH(C214,CATALOGOS!$G$3:$G$6,0)),"")</f>
        <v>Microciclo</v>
      </c>
      <c r="E214" t="str">
        <f>IFERROR(INDEX(CATALOGOS!$I$3:$I$6,MATCH(C214,CATALOGOS!$G$3:$G$6,0)),"")</f>
        <v>Mantener / perfeccionar</v>
      </c>
    </row>
    <row r="215" spans="1:5" x14ac:dyDescent="0.2">
      <c r="A215" t="s">
        <v>190</v>
      </c>
      <c r="B215" t="s">
        <v>194</v>
      </c>
      <c r="C215" t="str">
        <f>INDEX(NORMATIVOS!$C$199:$Z$199,1,MATCH($B$3,NORMATIVOS!$C$1:$Z$1,0))</f>
        <v>Consolidado</v>
      </c>
      <c r="D215" t="str">
        <f>IFERROR(INDEX(CATALOGOS!$H$3:$H$6,MATCH(C215,CATALOGOS!$G$3:$G$6,0)),"")</f>
        <v>Microciclo</v>
      </c>
      <c r="E215" t="str">
        <f>IFERROR(INDEX(CATALOGOS!$I$3:$I$6,MATCH(C215,CATALOGOS!$G$3:$G$6,0)),"")</f>
        <v>Mantener / perfeccionar</v>
      </c>
    </row>
    <row r="216" spans="1:5" x14ac:dyDescent="0.2">
      <c r="A216" t="s">
        <v>190</v>
      </c>
      <c r="B216" t="s">
        <v>195</v>
      </c>
      <c r="C216" t="str">
        <f>INDEX(NORMATIVOS!$C$200:$Z$200,1,MATCH($B$3,NORMATIVOS!$C$1:$Z$1,0))</f>
        <v>Consolidado</v>
      </c>
      <c r="D216" t="str">
        <f>IFERROR(INDEX(CATALOGOS!$H$3:$H$6,MATCH(C216,CATALOGOS!$G$3:$G$6,0)),"")</f>
        <v>Microciclo</v>
      </c>
      <c r="E216" t="str">
        <f>IFERROR(INDEX(CATALOGOS!$I$3:$I$6,MATCH(C216,CATALOGOS!$G$3:$G$6,0)),"")</f>
        <v>Mantener / perfeccionar</v>
      </c>
    </row>
    <row r="217" spans="1:5" x14ac:dyDescent="0.2">
      <c r="A217" t="s">
        <v>190</v>
      </c>
      <c r="B217" t="s">
        <v>196</v>
      </c>
      <c r="C217" t="str">
        <f>INDEX(NORMATIVOS!$C$201:$Z$201,1,MATCH($B$3,NORMATIVOS!$C$1:$Z$1,0))</f>
        <v>Proyección</v>
      </c>
      <c r="D217" t="str">
        <f>IFERROR(INDEX(CATALOGOS!$H$3:$H$6,MATCH(C217,CATALOGOS!$G$3:$G$6,0)),"")</f>
        <v>Macrociclo</v>
      </c>
      <c r="E217" t="str">
        <f>IFERROR(INDEX(CATALOGOS!$I$3:$I$6,MATCH(C217,CATALOGOS!$G$3:$G$6,0)),"")</f>
        <v>Iniciar / aprender</v>
      </c>
    </row>
    <row r="218" spans="1:5" x14ac:dyDescent="0.2">
      <c r="A218" t="s">
        <v>190</v>
      </c>
      <c r="B218" t="s">
        <v>197</v>
      </c>
      <c r="C218" t="str">
        <f>INDEX(NORMATIVOS!$C$202:$Z$202,1,MATCH($B$3,NORMATIVOS!$C$1:$Z$1,0))</f>
        <v>Consolidado</v>
      </c>
      <c r="D218" t="str">
        <f>IFERROR(INDEX(CATALOGOS!$H$3:$H$6,MATCH(C218,CATALOGOS!$G$3:$G$6,0)),"")</f>
        <v>Microciclo</v>
      </c>
      <c r="E218" t="str">
        <f>IFERROR(INDEX(CATALOGOS!$I$3:$I$6,MATCH(C218,CATALOGOS!$G$3:$G$6,0)),"")</f>
        <v>Mantener / perfeccionar</v>
      </c>
    </row>
    <row r="219" spans="1:5" x14ac:dyDescent="0.2">
      <c r="A219" t="s">
        <v>190</v>
      </c>
      <c r="B219" t="s">
        <v>198</v>
      </c>
      <c r="C219" t="str">
        <f>INDEX(NORMATIVOS!$C$203:$Z$203,1,MATCH($B$3,NORMATIVOS!$C$1:$Z$1,0))</f>
        <v>Consolidado</v>
      </c>
      <c r="D219" t="str">
        <f>IFERROR(INDEX(CATALOGOS!$H$3:$H$6,MATCH(C219,CATALOGOS!$G$3:$G$6,0)),"")</f>
        <v>Microciclo</v>
      </c>
      <c r="E219" t="str">
        <f>IFERROR(INDEX(CATALOGOS!$I$3:$I$6,MATCH(C219,CATALOGOS!$G$3:$G$6,0)),"")</f>
        <v>Mantener / perfeccionar</v>
      </c>
    </row>
    <row r="220" spans="1:5" x14ac:dyDescent="0.2">
      <c r="A220" t="s">
        <v>190</v>
      </c>
      <c r="B220" t="s">
        <v>199</v>
      </c>
      <c r="C220" t="str">
        <f>INDEX(NORMATIVOS!$C$204:$Z$204,1,MATCH($B$3,NORMATIVOS!$C$1:$Z$1,0))</f>
        <v>En proceso</v>
      </c>
      <c r="D220" t="str">
        <f>IFERROR(INDEX(CATALOGOS!$H$3:$H$6,MATCH(C220,CATALOGOS!$G$3:$G$6,0)),"")</f>
        <v>Mesociclo</v>
      </c>
      <c r="E220" t="str">
        <f>IFERROR(INDEX(CATALOGOS!$I$3:$I$6,MATCH(C220,CATALOGOS!$G$3:$G$6,0)),"")</f>
        <v>Desarrollar / consolidar</v>
      </c>
    </row>
    <row r="221" spans="1:5" x14ac:dyDescent="0.2">
      <c r="A221" t="s">
        <v>190</v>
      </c>
      <c r="B221" t="s">
        <v>309</v>
      </c>
      <c r="C221" t="str">
        <f>INDEX(NORMATIVOS!$C$205:$Z$205,1,MATCH($B$3,NORMATIVOS!$C$1:$Z$1,0))</f>
        <v>Consolidado</v>
      </c>
      <c r="D221" t="str">
        <f>IFERROR(INDEX(CATALOGOS!$H$3:$H$6,MATCH(C221,CATALOGOS!$G$3:$G$6,0)),"")</f>
        <v>Microciclo</v>
      </c>
      <c r="E221" t="str">
        <f>IFERROR(INDEX(CATALOGOS!$I$3:$I$6,MATCH(C221,CATALOGOS!$G$3:$G$6,0)),"")</f>
        <v>Mantener / perfeccionar</v>
      </c>
    </row>
    <row r="222" spans="1:5" x14ac:dyDescent="0.2">
      <c r="A222" t="s">
        <v>190</v>
      </c>
      <c r="B222" t="s">
        <v>310</v>
      </c>
      <c r="C222" t="str">
        <f>INDEX(NORMATIVOS!$C$206:$Z$206,1,MATCH($B$3,NORMATIVOS!$C$1:$Z$1,0))</f>
        <v>En proceso</v>
      </c>
      <c r="D222" t="str">
        <f>IFERROR(INDEX(CATALOGOS!$H$3:$H$6,MATCH(C222,CATALOGOS!$G$3:$G$6,0)),"")</f>
        <v>Mesociclo</v>
      </c>
      <c r="E222" t="str">
        <f>IFERROR(INDEX(CATALOGOS!$I$3:$I$6,MATCH(C222,CATALOGOS!$G$3:$G$6,0)),"")</f>
        <v>Desarrollar / consolidar</v>
      </c>
    </row>
    <row r="223" spans="1:5" x14ac:dyDescent="0.2">
      <c r="A223" t="s">
        <v>190</v>
      </c>
      <c r="B223" t="s">
        <v>202</v>
      </c>
      <c r="C223" t="str">
        <f>INDEX(NORMATIVOS!$C$207:$Z$207,1,MATCH($B$3,NORMATIVOS!$C$1:$Z$1,0))</f>
        <v>Proyección</v>
      </c>
      <c r="D223" t="str">
        <f>IFERROR(INDEX(CATALOGOS!$H$3:$H$6,MATCH(C223,CATALOGOS!$G$3:$G$6,0)),"")</f>
        <v>Macrociclo</v>
      </c>
      <c r="E223" t="str">
        <f>IFERROR(INDEX(CATALOGOS!$I$3:$I$6,MATCH(C223,CATALOGOS!$G$3:$G$6,0)),"")</f>
        <v>Iniciar / aprender</v>
      </c>
    </row>
    <row r="224" spans="1:5" x14ac:dyDescent="0.2">
      <c r="A224" t="s">
        <v>190</v>
      </c>
      <c r="B224" t="s">
        <v>203</v>
      </c>
      <c r="C224" t="str">
        <f>INDEX(NORMATIVOS!$C$208:$Z$208,1,MATCH($B$3,NORMATIVOS!$C$1:$Z$1,0))</f>
        <v>Proyección</v>
      </c>
      <c r="D224" t="str">
        <f>IFERROR(INDEX(CATALOGOS!$H$3:$H$6,MATCH(C224,CATALOGOS!$G$3:$G$6,0)),"")</f>
        <v>Macrociclo</v>
      </c>
      <c r="E224" t="str">
        <f>IFERROR(INDEX(CATALOGOS!$I$3:$I$6,MATCH(C224,CATALOGOS!$G$3:$G$6,0)),"")</f>
        <v>Iniciar / aprender</v>
      </c>
    </row>
    <row r="225" spans="1:5" x14ac:dyDescent="0.2">
      <c r="A225" t="s">
        <v>190</v>
      </c>
      <c r="B225" t="s">
        <v>204</v>
      </c>
      <c r="C225" t="str">
        <f>INDEX(NORMATIVOS!$C$209:$Z$209,1,MATCH($B$3,NORMATIVOS!$C$1:$Z$1,0))</f>
        <v>Proyección</v>
      </c>
      <c r="D225" t="str">
        <f>IFERROR(INDEX(CATALOGOS!$H$3:$H$6,MATCH(C225,CATALOGOS!$G$3:$G$6,0)),"")</f>
        <v>Macrociclo</v>
      </c>
      <c r="E225" t="str">
        <f>IFERROR(INDEX(CATALOGOS!$I$3:$I$6,MATCH(C225,CATALOGOS!$G$3:$G$6,0)),"")</f>
        <v>Iniciar / aprender</v>
      </c>
    </row>
    <row r="226" spans="1:5" x14ac:dyDescent="0.2">
      <c r="A226" t="s">
        <v>190</v>
      </c>
      <c r="B226" t="s">
        <v>205</v>
      </c>
      <c r="C226" t="str">
        <f>INDEX(NORMATIVOS!$C$210:$Z$210,1,MATCH($B$3,NORMATIVOS!$C$1:$Z$1,0))</f>
        <v>Proyección</v>
      </c>
      <c r="D226" t="str">
        <f>IFERROR(INDEX(CATALOGOS!$H$3:$H$6,MATCH(C226,CATALOGOS!$G$3:$G$6,0)),"")</f>
        <v>Macrociclo</v>
      </c>
      <c r="E226" t="str">
        <f>IFERROR(INDEX(CATALOGOS!$I$3:$I$6,MATCH(C226,CATALOGOS!$G$3:$G$6,0)),"")</f>
        <v>Iniciar / aprender</v>
      </c>
    </row>
    <row r="227" spans="1:5" x14ac:dyDescent="0.2">
      <c r="A227" t="s">
        <v>190</v>
      </c>
      <c r="B227" t="s">
        <v>311</v>
      </c>
      <c r="C227" t="str">
        <f>INDEX(NORMATIVOS!$C$211:$Z$211,1,MATCH($B$3,NORMATIVOS!$C$1:$Z$1,0))</f>
        <v>Proyección</v>
      </c>
      <c r="D227" t="str">
        <f>IFERROR(INDEX(CATALOGOS!$H$3:$H$6,MATCH(C227,CATALOGOS!$G$3:$G$6,0)),"")</f>
        <v>Macrociclo</v>
      </c>
      <c r="E227" t="str">
        <f>IFERROR(INDEX(CATALOGOS!$I$3:$I$6,MATCH(C227,CATALOGOS!$G$3:$G$6,0)),"")</f>
        <v>Iniciar / aprender</v>
      </c>
    </row>
    <row r="228" spans="1:5" x14ac:dyDescent="0.2">
      <c r="A228" t="s">
        <v>190</v>
      </c>
      <c r="B228" t="s">
        <v>207</v>
      </c>
      <c r="C228" t="str">
        <f>INDEX(NORMATIVOS!$C$212:$Z$212,1,MATCH($B$3,NORMATIVOS!$C$1:$Z$1,0))</f>
        <v>Proyección</v>
      </c>
      <c r="D228" t="str">
        <f>IFERROR(INDEX(CATALOGOS!$H$3:$H$6,MATCH(C228,CATALOGOS!$G$3:$G$6,0)),"")</f>
        <v>Macrociclo</v>
      </c>
      <c r="E228" t="str">
        <f>IFERROR(INDEX(CATALOGOS!$I$3:$I$6,MATCH(C228,CATALOGOS!$G$3:$G$6,0)),"")</f>
        <v>Iniciar / aprender</v>
      </c>
    </row>
    <row r="229" spans="1:5" x14ac:dyDescent="0.2">
      <c r="A229" t="s">
        <v>190</v>
      </c>
      <c r="B229" t="s">
        <v>208</v>
      </c>
      <c r="C229" t="str">
        <f>INDEX(NORMATIVOS!$C$213:$Z$213,1,MATCH($B$3,NORMATIVOS!$C$1:$Z$1,0))</f>
        <v>Proyección</v>
      </c>
      <c r="D229" t="str">
        <f>IFERROR(INDEX(CATALOGOS!$H$3:$H$6,MATCH(C229,CATALOGOS!$G$3:$G$6,0)),"")</f>
        <v>Macrociclo</v>
      </c>
      <c r="E229" t="str">
        <f>IFERROR(INDEX(CATALOGOS!$I$3:$I$6,MATCH(C229,CATALOGOS!$G$3:$G$6,0)),"")</f>
        <v>Iniciar / aprender</v>
      </c>
    </row>
    <row r="230" spans="1:5" x14ac:dyDescent="0.2">
      <c r="A230" t="s">
        <v>190</v>
      </c>
      <c r="B230" t="s">
        <v>209</v>
      </c>
      <c r="C230" t="str">
        <f>INDEX(NORMATIVOS!$C$214:$Z$214,1,MATCH($B$3,NORMATIVOS!$C$1:$Z$1,0))</f>
        <v>Proyección</v>
      </c>
      <c r="D230" t="str">
        <f>IFERROR(INDEX(CATALOGOS!$H$3:$H$6,MATCH(C230,CATALOGOS!$G$3:$G$6,0)),"")</f>
        <v>Macrociclo</v>
      </c>
      <c r="E230" t="str">
        <f>IFERROR(INDEX(CATALOGOS!$I$3:$I$6,MATCH(C230,CATALOGOS!$G$3:$G$6,0)),"")</f>
        <v>Iniciar / aprender</v>
      </c>
    </row>
    <row r="231" spans="1:5" x14ac:dyDescent="0.2">
      <c r="A231" t="s">
        <v>190</v>
      </c>
      <c r="B231" t="s">
        <v>210</v>
      </c>
      <c r="C231" t="str">
        <f>INDEX(NORMATIVOS!$C$215:$Z$215,1,MATCH($B$3,NORMATIVOS!$C$1:$Z$1,0))</f>
        <v>Proyección</v>
      </c>
      <c r="D231" t="str">
        <f>IFERROR(INDEX(CATALOGOS!$H$3:$H$6,MATCH(C231,CATALOGOS!$G$3:$G$6,0)),"")</f>
        <v>Macrociclo</v>
      </c>
      <c r="E231" t="str">
        <f>IFERROR(INDEX(CATALOGOS!$I$3:$I$6,MATCH(C231,CATALOGOS!$G$3:$G$6,0)),"")</f>
        <v>Iniciar / aprender</v>
      </c>
    </row>
    <row r="232" spans="1:5" x14ac:dyDescent="0.2">
      <c r="A232" t="s">
        <v>190</v>
      </c>
      <c r="B232" t="s">
        <v>211</v>
      </c>
      <c r="C232" t="str">
        <f>INDEX(NORMATIVOS!$C$216:$Z$216,1,MATCH($B$3,NORMATIVOS!$C$1:$Z$1,0))</f>
        <v>Proyección</v>
      </c>
      <c r="D232" t="str">
        <f>IFERROR(INDEX(CATALOGOS!$H$3:$H$6,MATCH(C232,CATALOGOS!$G$3:$G$6,0)),"")</f>
        <v>Macrociclo</v>
      </c>
      <c r="E232" t="str">
        <f>IFERROR(INDEX(CATALOGOS!$I$3:$I$6,MATCH(C232,CATALOGOS!$G$3:$G$6,0)),"")</f>
        <v>Iniciar / aprender</v>
      </c>
    </row>
    <row r="233" spans="1:5" x14ac:dyDescent="0.2">
      <c r="A233" t="s">
        <v>212</v>
      </c>
      <c r="B233" t="s">
        <v>174</v>
      </c>
      <c r="C233" t="str">
        <f>INDEX(NORMATIVOS!$C$217:$Z$217,1,MATCH($B$3,NORMATIVOS!$C$1:$Z$1,0))</f>
        <v>Consolidado</v>
      </c>
      <c r="D233" t="str">
        <f>IFERROR(INDEX(CATALOGOS!$H$3:$H$6,MATCH(C233,CATALOGOS!$G$3:$G$6,0)),"")</f>
        <v>Microciclo</v>
      </c>
      <c r="E233" t="str">
        <f>IFERROR(INDEX(CATALOGOS!$I$3:$I$6,MATCH(C233,CATALOGOS!$G$3:$G$6,0)),"")</f>
        <v>Mantener / perfeccionar</v>
      </c>
    </row>
    <row r="234" spans="1:5" x14ac:dyDescent="0.2">
      <c r="A234" t="s">
        <v>212</v>
      </c>
      <c r="B234" t="s">
        <v>307</v>
      </c>
      <c r="C234" t="str">
        <f>INDEX(NORMATIVOS!$C$218:$Z$218,1,MATCH($B$3,NORMATIVOS!$C$1:$Z$1,0))</f>
        <v>En proceso</v>
      </c>
      <c r="D234" t="str">
        <f>IFERROR(INDEX(CATALOGOS!$H$3:$H$6,MATCH(C234,CATALOGOS!$G$3:$G$6,0)),"")</f>
        <v>Mesociclo</v>
      </c>
      <c r="E234" t="str">
        <f>IFERROR(INDEX(CATALOGOS!$I$3:$I$6,MATCH(C234,CATALOGOS!$G$3:$G$6,0)),"")</f>
        <v>Desarrollar / consolidar</v>
      </c>
    </row>
    <row r="235" spans="1:5" x14ac:dyDescent="0.2">
      <c r="A235" t="s">
        <v>212</v>
      </c>
      <c r="B235" t="s">
        <v>308</v>
      </c>
      <c r="C235" t="str">
        <f>INDEX(NORMATIVOS!$C$219:$Z$219,1,MATCH($B$3,NORMATIVOS!$C$1:$Z$1,0))</f>
        <v>Consolidado</v>
      </c>
      <c r="D235" t="str">
        <f>IFERROR(INDEX(CATALOGOS!$H$3:$H$6,MATCH(C235,CATALOGOS!$G$3:$G$6,0)),"")</f>
        <v>Microciclo</v>
      </c>
      <c r="E235" t="str">
        <f>IFERROR(INDEX(CATALOGOS!$I$3:$I$6,MATCH(C235,CATALOGOS!$G$3:$G$6,0)),"")</f>
        <v>Mantener / perfeccionar</v>
      </c>
    </row>
    <row r="236" spans="1:5" x14ac:dyDescent="0.2">
      <c r="A236" t="s">
        <v>212</v>
      </c>
      <c r="B236" t="s">
        <v>131</v>
      </c>
      <c r="C236" t="str">
        <f>INDEX(NORMATIVOS!$C$220:$Z$220,1,MATCH($B$3,NORMATIVOS!$C$1:$Z$1,0))</f>
        <v>Consolidado</v>
      </c>
      <c r="D236" t="str">
        <f>IFERROR(INDEX(CATALOGOS!$H$3:$H$6,MATCH(C236,CATALOGOS!$G$3:$G$6,0)),"")</f>
        <v>Microciclo</v>
      </c>
      <c r="E236" t="str">
        <f>IFERROR(INDEX(CATALOGOS!$I$3:$I$6,MATCH(C236,CATALOGOS!$G$3:$G$6,0)),"")</f>
        <v>Mantener / perfeccionar</v>
      </c>
    </row>
    <row r="237" spans="1:5" x14ac:dyDescent="0.2">
      <c r="A237" t="s">
        <v>212</v>
      </c>
      <c r="B237" t="s">
        <v>213</v>
      </c>
      <c r="C237" t="str">
        <f>INDEX(NORMATIVOS!$C$221:$Z$221,1,MATCH($B$3,NORMATIVOS!$C$1:$Z$1,0))</f>
        <v>En proceso</v>
      </c>
      <c r="D237" t="str">
        <f>IFERROR(INDEX(CATALOGOS!$H$3:$H$6,MATCH(C237,CATALOGOS!$G$3:$G$6,0)),"")</f>
        <v>Mesociclo</v>
      </c>
      <c r="E237" t="str">
        <f>IFERROR(INDEX(CATALOGOS!$I$3:$I$6,MATCH(C237,CATALOGOS!$G$3:$G$6,0)),"")</f>
        <v>Desarrollar / consolidar</v>
      </c>
    </row>
    <row r="238" spans="1:5" x14ac:dyDescent="0.2">
      <c r="A238" t="s">
        <v>212</v>
      </c>
      <c r="B238" t="s">
        <v>214</v>
      </c>
      <c r="C238" t="str">
        <f>INDEX(NORMATIVOS!$C$222:$Z$222,1,MATCH($B$3,NORMATIVOS!$C$1:$Z$1,0))</f>
        <v>Proyección</v>
      </c>
      <c r="D238" t="str">
        <f>IFERROR(INDEX(CATALOGOS!$H$3:$H$6,MATCH(C238,CATALOGOS!$G$3:$G$6,0)),"")</f>
        <v>Macrociclo</v>
      </c>
      <c r="E238" t="str">
        <f>IFERROR(INDEX(CATALOGOS!$I$3:$I$6,MATCH(C238,CATALOGOS!$G$3:$G$6,0)),"")</f>
        <v>Iniciar / aprender</v>
      </c>
    </row>
    <row r="239" spans="1:5" x14ac:dyDescent="0.2">
      <c r="A239" t="s">
        <v>212</v>
      </c>
      <c r="B239" t="s">
        <v>215</v>
      </c>
      <c r="C239" t="str">
        <f>INDEX(NORMATIVOS!$C$223:$Z$223,1,MATCH($B$3,NORMATIVOS!$C$1:$Z$1,0))</f>
        <v>Proyección</v>
      </c>
      <c r="D239" t="str">
        <f>IFERROR(INDEX(CATALOGOS!$H$3:$H$6,MATCH(C239,CATALOGOS!$G$3:$G$6,0)),"")</f>
        <v>Macrociclo</v>
      </c>
      <c r="E239" t="str">
        <f>IFERROR(INDEX(CATALOGOS!$I$3:$I$6,MATCH(C239,CATALOGOS!$G$3:$G$6,0)),"")</f>
        <v>Iniciar / aprender</v>
      </c>
    </row>
    <row r="240" spans="1:5" x14ac:dyDescent="0.2">
      <c r="A240" t="s">
        <v>212</v>
      </c>
      <c r="B240" t="s">
        <v>216</v>
      </c>
      <c r="C240" t="str">
        <f>INDEX(NORMATIVOS!$C$224:$Z$224,1,MATCH($B$3,NORMATIVOS!$C$1:$Z$1,0))</f>
        <v>Proyección</v>
      </c>
      <c r="D240" t="str">
        <f>IFERROR(INDEX(CATALOGOS!$H$3:$H$6,MATCH(C240,CATALOGOS!$G$3:$G$6,0)),"")</f>
        <v>Macrociclo</v>
      </c>
      <c r="E240" t="str">
        <f>IFERROR(INDEX(CATALOGOS!$I$3:$I$6,MATCH(C240,CATALOGOS!$G$3:$G$6,0)),"")</f>
        <v>Iniciar / aprender</v>
      </c>
    </row>
    <row r="241" spans="1:5" x14ac:dyDescent="0.2">
      <c r="A241" t="s">
        <v>212</v>
      </c>
      <c r="B241" t="s">
        <v>312</v>
      </c>
      <c r="C241" t="str">
        <f>INDEX(NORMATIVOS!$C$225:$Z$225,1,MATCH($B$3,NORMATIVOS!$C$1:$Z$1,0))</f>
        <v>Proyección</v>
      </c>
      <c r="D241" t="str">
        <f>IFERROR(INDEX(CATALOGOS!$H$3:$H$6,MATCH(C241,CATALOGOS!$G$3:$G$6,0)),"")</f>
        <v>Macrociclo</v>
      </c>
      <c r="E241" t="str">
        <f>IFERROR(INDEX(CATALOGOS!$I$3:$I$6,MATCH(C241,CATALOGOS!$G$3:$G$6,0)),"")</f>
        <v>Iniciar / aprender</v>
      </c>
    </row>
    <row r="242" spans="1:5" x14ac:dyDescent="0.2">
      <c r="A242" t="s">
        <v>212</v>
      </c>
      <c r="B242" t="s">
        <v>218</v>
      </c>
      <c r="C242" t="str">
        <f>INDEX(NORMATIVOS!$C$226:$Z$226,1,MATCH($B$3,NORMATIVOS!$C$1:$Z$1,0))</f>
        <v>Proyección</v>
      </c>
      <c r="D242" t="str">
        <f>IFERROR(INDEX(CATALOGOS!$H$3:$H$6,MATCH(C242,CATALOGOS!$G$3:$G$6,0)),"")</f>
        <v>Macrociclo</v>
      </c>
      <c r="E242" t="str">
        <f>IFERROR(INDEX(CATALOGOS!$I$3:$I$6,MATCH(C242,CATALOGOS!$G$3:$G$6,0)),"")</f>
        <v>Iniciar / aprender</v>
      </c>
    </row>
    <row r="243" spans="1:5" x14ac:dyDescent="0.2">
      <c r="A243" t="s">
        <v>212</v>
      </c>
      <c r="B243" t="s">
        <v>219</v>
      </c>
      <c r="C243" t="str">
        <f>INDEX(NORMATIVOS!$C$227:$Z$227,1,MATCH($B$3,NORMATIVOS!$C$1:$Z$1,0))</f>
        <v>Proyección</v>
      </c>
      <c r="D243" t="str">
        <f>IFERROR(INDEX(CATALOGOS!$H$3:$H$6,MATCH(C243,CATALOGOS!$G$3:$G$6,0)),"")</f>
        <v>Macrociclo</v>
      </c>
      <c r="E243" t="str">
        <f>IFERROR(INDEX(CATALOGOS!$I$3:$I$6,MATCH(C243,CATALOGOS!$G$3:$G$6,0)),"")</f>
        <v>Iniciar / aprender</v>
      </c>
    </row>
    <row r="244" spans="1:5" x14ac:dyDescent="0.2">
      <c r="A244" t="s">
        <v>212</v>
      </c>
      <c r="B244" t="s">
        <v>220</v>
      </c>
      <c r="C244" t="str">
        <f>INDEX(NORMATIVOS!$C$228:$Z$228,1,MATCH($B$3,NORMATIVOS!$C$1:$Z$1,0))</f>
        <v>Proyección</v>
      </c>
      <c r="D244" t="str">
        <f>IFERROR(INDEX(CATALOGOS!$H$3:$H$6,MATCH(C244,CATALOGOS!$G$3:$G$6,0)),"")</f>
        <v>Macrociclo</v>
      </c>
      <c r="E244" t="str">
        <f>IFERROR(INDEX(CATALOGOS!$I$3:$I$6,MATCH(C244,CATALOGOS!$G$3:$G$6,0)),"")</f>
        <v>Iniciar / aprender</v>
      </c>
    </row>
    <row r="245" spans="1:5" x14ac:dyDescent="0.2">
      <c r="A245" t="s">
        <v>212</v>
      </c>
      <c r="B245" t="s">
        <v>313</v>
      </c>
      <c r="C245" t="str">
        <f>INDEX(NORMATIVOS!$C$229:$Z$229,1,MATCH($B$3,NORMATIVOS!$C$1:$Z$1,0))</f>
        <v>Proyección</v>
      </c>
      <c r="D245" t="str">
        <f>IFERROR(INDEX(CATALOGOS!$H$3:$H$6,MATCH(C245,CATALOGOS!$G$3:$G$6,0)),"")</f>
        <v>Macrociclo</v>
      </c>
      <c r="E245" t="str">
        <f>IFERROR(INDEX(CATALOGOS!$I$3:$I$6,MATCH(C245,CATALOGOS!$G$3:$G$6,0)),"")</f>
        <v>Iniciar / aprender</v>
      </c>
    </row>
    <row r="246" spans="1:5" x14ac:dyDescent="0.2">
      <c r="A246" t="s">
        <v>223</v>
      </c>
      <c r="B246" t="s">
        <v>224</v>
      </c>
      <c r="C246" t="str">
        <f>INDEX(NORMATIVOS!$C$232:$Z$232,1,MATCH($B$3,NORMATIVOS!$C$1:$Z$1,0))</f>
        <v>Consolidado</v>
      </c>
      <c r="D246" t="str">
        <f>IFERROR(INDEX(CATALOGOS!$H$3:$H$6,MATCH(C246,CATALOGOS!$G$3:$G$6,0)),"")</f>
        <v>Microciclo</v>
      </c>
      <c r="E246" t="str">
        <f>IFERROR(INDEX(CATALOGOS!$I$3:$I$6,MATCH(C246,CATALOGOS!$G$3:$G$6,0)),"")</f>
        <v>Mantener / perfeccionar</v>
      </c>
    </row>
    <row r="247" spans="1:5" x14ac:dyDescent="0.2">
      <c r="A247" t="s">
        <v>223</v>
      </c>
      <c r="B247" t="s">
        <v>225</v>
      </c>
      <c r="C247" t="str">
        <f>INDEX(NORMATIVOS!$C$233:$Z$233,1,MATCH($B$3,NORMATIVOS!$C$1:$Z$1,0))</f>
        <v>Consolidado</v>
      </c>
      <c r="D247" t="str">
        <f>IFERROR(INDEX(CATALOGOS!$H$3:$H$6,MATCH(C247,CATALOGOS!$G$3:$G$6,0)),"")</f>
        <v>Microciclo</v>
      </c>
      <c r="E247" t="str">
        <f>IFERROR(INDEX(CATALOGOS!$I$3:$I$6,MATCH(C247,CATALOGOS!$G$3:$G$6,0)),"")</f>
        <v>Mantener / perfeccionar</v>
      </c>
    </row>
    <row r="248" spans="1:5" x14ac:dyDescent="0.2">
      <c r="A248" t="s">
        <v>223</v>
      </c>
      <c r="B248" t="s">
        <v>121</v>
      </c>
      <c r="C248" t="str">
        <f>INDEX(NORMATIVOS!$C$234:$Z$234,1,MATCH($B$3,NORMATIVOS!$C$1:$Z$1,0))</f>
        <v>Consolidado</v>
      </c>
      <c r="D248" t="str">
        <f>IFERROR(INDEX(CATALOGOS!$H$3:$H$6,MATCH(C248,CATALOGOS!$G$3:$G$6,0)),"")</f>
        <v>Microciclo</v>
      </c>
      <c r="E248" t="str">
        <f>IFERROR(INDEX(CATALOGOS!$I$3:$I$6,MATCH(C248,CATALOGOS!$G$3:$G$6,0)),"")</f>
        <v>Mantener / perfeccionar</v>
      </c>
    </row>
    <row r="249" spans="1:5" x14ac:dyDescent="0.2">
      <c r="A249" t="s">
        <v>223</v>
      </c>
      <c r="B249" t="s">
        <v>300</v>
      </c>
      <c r="C249" t="str">
        <f>INDEX(NORMATIVOS!$C$235:$Z$235,1,MATCH($B$3,NORMATIVOS!$C$1:$Z$1,0))</f>
        <v>Consolidado</v>
      </c>
      <c r="D249" t="str">
        <f>IFERROR(INDEX(CATALOGOS!$H$3:$H$6,MATCH(C249,CATALOGOS!$G$3:$G$6,0)),"")</f>
        <v>Microciclo</v>
      </c>
      <c r="E249" t="str">
        <f>IFERROR(INDEX(CATALOGOS!$I$3:$I$6,MATCH(C249,CATALOGOS!$G$3:$G$6,0)),"")</f>
        <v>Mantener / perfeccionar</v>
      </c>
    </row>
    <row r="250" spans="1:5" x14ac:dyDescent="0.2">
      <c r="A250" t="s">
        <v>223</v>
      </c>
      <c r="B250" t="s">
        <v>226</v>
      </c>
      <c r="C250" t="str">
        <f>INDEX(NORMATIVOS!$C$236:$Z$236,1,MATCH($B$3,NORMATIVOS!$C$1:$Z$1,0))</f>
        <v>Consolidado</v>
      </c>
      <c r="D250" t="str">
        <f>IFERROR(INDEX(CATALOGOS!$H$3:$H$6,MATCH(C250,CATALOGOS!$G$3:$G$6,0)),"")</f>
        <v>Microciclo</v>
      </c>
      <c r="E250" t="str">
        <f>IFERROR(INDEX(CATALOGOS!$I$3:$I$6,MATCH(C250,CATALOGOS!$G$3:$G$6,0)),"")</f>
        <v>Mantener / perfeccionar</v>
      </c>
    </row>
    <row r="251" spans="1:5" x14ac:dyDescent="0.2">
      <c r="A251" t="s">
        <v>223</v>
      </c>
      <c r="B251" t="s">
        <v>227</v>
      </c>
      <c r="C251" t="str">
        <f>INDEX(NORMATIVOS!$C$237:$Z$237,1,MATCH($B$3,NORMATIVOS!$C$1:$Z$1,0))</f>
        <v>Consolidado</v>
      </c>
      <c r="D251" t="str">
        <f>IFERROR(INDEX(CATALOGOS!$H$3:$H$6,MATCH(C251,CATALOGOS!$G$3:$G$6,0)),"")</f>
        <v>Microciclo</v>
      </c>
      <c r="E251" t="str">
        <f>IFERROR(INDEX(CATALOGOS!$I$3:$I$6,MATCH(C251,CATALOGOS!$G$3:$G$6,0)),"")</f>
        <v>Mantener / perfeccionar</v>
      </c>
    </row>
    <row r="252" spans="1:5" x14ac:dyDescent="0.2">
      <c r="A252" t="s">
        <v>223</v>
      </c>
      <c r="B252" t="s">
        <v>228</v>
      </c>
      <c r="C252" t="str">
        <f>INDEX(NORMATIVOS!$C$238:$Z$238,1,MATCH($B$3,NORMATIVOS!$C$1:$Z$1,0))</f>
        <v>Consolidado</v>
      </c>
      <c r="D252" t="str">
        <f>IFERROR(INDEX(CATALOGOS!$H$3:$H$6,MATCH(C252,CATALOGOS!$G$3:$G$6,0)),"")</f>
        <v>Microciclo</v>
      </c>
      <c r="E252" t="str">
        <f>IFERROR(INDEX(CATALOGOS!$I$3:$I$6,MATCH(C252,CATALOGOS!$G$3:$G$6,0)),"")</f>
        <v>Mantener / perfeccionar</v>
      </c>
    </row>
    <row r="253" spans="1:5" x14ac:dyDescent="0.2">
      <c r="A253" t="s">
        <v>223</v>
      </c>
      <c r="B253" t="s">
        <v>229</v>
      </c>
      <c r="C253" t="str">
        <f>INDEX(NORMATIVOS!$C$239:$Z$239,1,MATCH($B$3,NORMATIVOS!$C$1:$Z$1,0))</f>
        <v>Consolidado</v>
      </c>
      <c r="D253" t="str">
        <f>IFERROR(INDEX(CATALOGOS!$H$3:$H$6,MATCH(C253,CATALOGOS!$G$3:$G$6,0)),"")</f>
        <v>Microciclo</v>
      </c>
      <c r="E253" t="str">
        <f>IFERROR(INDEX(CATALOGOS!$I$3:$I$6,MATCH(C253,CATALOGOS!$G$3:$G$6,0)),"")</f>
        <v>Mantener / perfeccionar</v>
      </c>
    </row>
    <row r="254" spans="1:5" x14ac:dyDescent="0.2">
      <c r="A254" t="s">
        <v>223</v>
      </c>
      <c r="B254" t="s">
        <v>230</v>
      </c>
      <c r="C254" t="str">
        <f>INDEX(NORMATIVOS!$C$240:$Z$240,1,MATCH($B$3,NORMATIVOS!$C$1:$Z$1,0))</f>
        <v>Consolidado</v>
      </c>
      <c r="D254" t="str">
        <f>IFERROR(INDEX(CATALOGOS!$H$3:$H$6,MATCH(C254,CATALOGOS!$G$3:$G$6,0)),"")</f>
        <v>Microciclo</v>
      </c>
      <c r="E254" t="str">
        <f>IFERROR(INDEX(CATALOGOS!$I$3:$I$6,MATCH(C254,CATALOGOS!$G$3:$G$6,0)),"")</f>
        <v>Mantener / perfeccionar</v>
      </c>
    </row>
    <row r="255" spans="1:5" x14ac:dyDescent="0.2">
      <c r="A255" t="s">
        <v>223</v>
      </c>
      <c r="B255" t="s">
        <v>135</v>
      </c>
      <c r="C255" t="str">
        <f>INDEX(NORMATIVOS!$C$241:$Z$241,1,MATCH($B$3,NORMATIVOS!$C$1:$Z$1,0))</f>
        <v>Consolidado</v>
      </c>
      <c r="D255" t="str">
        <f>IFERROR(INDEX(CATALOGOS!$H$3:$H$6,MATCH(C255,CATALOGOS!$G$3:$G$6,0)),"")</f>
        <v>Microciclo</v>
      </c>
      <c r="E255" t="str">
        <f>IFERROR(INDEX(CATALOGOS!$I$3:$I$6,MATCH(C255,CATALOGOS!$G$3:$G$6,0)),"")</f>
        <v>Mantener / perfeccionar</v>
      </c>
    </row>
    <row r="256" spans="1:5" x14ac:dyDescent="0.2">
      <c r="A256" t="s">
        <v>223</v>
      </c>
      <c r="B256" t="s">
        <v>134</v>
      </c>
      <c r="C256" t="str">
        <f>INDEX(NORMATIVOS!$C$242:$Z$242,1,MATCH($B$3,NORMATIVOS!$C$1:$Z$1,0))</f>
        <v>Consolidado</v>
      </c>
      <c r="D256" t="str">
        <f>IFERROR(INDEX(CATALOGOS!$H$3:$H$6,MATCH(C256,CATALOGOS!$G$3:$G$6,0)),"")</f>
        <v>Microciclo</v>
      </c>
      <c r="E256" t="str">
        <f>IFERROR(INDEX(CATALOGOS!$I$3:$I$6,MATCH(C256,CATALOGOS!$G$3:$G$6,0)),"")</f>
        <v>Mantener / perfeccionar</v>
      </c>
    </row>
    <row r="257" spans="1:5" x14ac:dyDescent="0.2">
      <c r="A257" t="s">
        <v>223</v>
      </c>
      <c r="B257" t="s">
        <v>232</v>
      </c>
      <c r="C257" t="str">
        <f>INDEX(NORMATIVOS!$C$243:$Z$243,1,MATCH($B$3,NORMATIVOS!$C$1:$Z$1,0))</f>
        <v>Consolidado</v>
      </c>
      <c r="D257" t="str">
        <f>IFERROR(INDEX(CATALOGOS!$H$3:$H$6,MATCH(C257,CATALOGOS!$G$3:$G$6,0)),"")</f>
        <v>Microciclo</v>
      </c>
      <c r="E257" t="str">
        <f>IFERROR(INDEX(CATALOGOS!$I$3:$I$6,MATCH(C257,CATALOGOS!$G$3:$G$6,0)),"")</f>
        <v>Mantener / perfeccionar</v>
      </c>
    </row>
    <row r="258" spans="1:5" x14ac:dyDescent="0.2">
      <c r="A258" t="s">
        <v>223</v>
      </c>
      <c r="B258" t="s">
        <v>198</v>
      </c>
      <c r="C258" t="str">
        <f>INDEX(NORMATIVOS!$C$244:$Z$244,1,MATCH($B$3,NORMATIVOS!$C$1:$Z$1,0))</f>
        <v>Consolidado</v>
      </c>
      <c r="D258" t="str">
        <f>IFERROR(INDEX(CATALOGOS!$H$3:$H$6,MATCH(C258,CATALOGOS!$G$3:$G$6,0)),"")</f>
        <v>Microciclo</v>
      </c>
      <c r="E258" t="str">
        <f>IFERROR(INDEX(CATALOGOS!$I$3:$I$6,MATCH(C258,CATALOGOS!$G$3:$G$6,0)),"")</f>
        <v>Mantener / perfeccionar</v>
      </c>
    </row>
    <row r="259" spans="1:5" x14ac:dyDescent="0.2">
      <c r="A259" t="s">
        <v>223</v>
      </c>
      <c r="B259" t="s">
        <v>233</v>
      </c>
      <c r="C259" t="str">
        <f>INDEX(NORMATIVOS!$C$245:$Z$245,1,MATCH($B$3,NORMATIVOS!$C$1:$Z$1,0))</f>
        <v>Consolidado</v>
      </c>
      <c r="D259" t="str">
        <f>IFERROR(INDEX(CATALOGOS!$H$3:$H$6,MATCH(C259,CATALOGOS!$G$3:$G$6,0)),"")</f>
        <v>Microciclo</v>
      </c>
      <c r="E259" t="str">
        <f>IFERROR(INDEX(CATALOGOS!$I$3:$I$6,MATCH(C259,CATALOGOS!$G$3:$G$6,0)),"")</f>
        <v>Mantener / perfeccionar</v>
      </c>
    </row>
    <row r="260" spans="1:5" x14ac:dyDescent="0.2">
      <c r="A260" t="s">
        <v>223</v>
      </c>
      <c r="B260" t="s">
        <v>234</v>
      </c>
      <c r="C260" t="str">
        <f>INDEX(NORMATIVOS!$C$246:$Z$246,1,MATCH($B$3,NORMATIVOS!$C$1:$Z$1,0))</f>
        <v>Consolidado</v>
      </c>
      <c r="D260" t="str">
        <f>IFERROR(INDEX(CATALOGOS!$H$3:$H$6,MATCH(C260,CATALOGOS!$G$3:$G$6,0)),"")</f>
        <v>Microciclo</v>
      </c>
      <c r="E260" t="str">
        <f>IFERROR(INDEX(CATALOGOS!$I$3:$I$6,MATCH(C260,CATALOGOS!$G$3:$G$6,0)),"")</f>
        <v>Mantener / perfeccionar</v>
      </c>
    </row>
    <row r="261" spans="1:5" x14ac:dyDescent="0.2">
      <c r="A261" t="s">
        <v>223</v>
      </c>
      <c r="B261" t="s">
        <v>235</v>
      </c>
      <c r="C261" t="str">
        <f>INDEX(NORMATIVOS!$C$247:$Z$247,1,MATCH($B$3,NORMATIVOS!$C$1:$Z$1,0))</f>
        <v>Proyección</v>
      </c>
      <c r="D261" t="str">
        <f>IFERROR(INDEX(CATALOGOS!$H$3:$H$6,MATCH(C261,CATALOGOS!$G$3:$G$6,0)),"")</f>
        <v>Macrociclo</v>
      </c>
      <c r="E261" t="str">
        <f>IFERROR(INDEX(CATALOGOS!$I$3:$I$6,MATCH(C261,CATALOGOS!$G$3:$G$6,0)),"")</f>
        <v>Iniciar / aprender</v>
      </c>
    </row>
    <row r="262" spans="1:5" x14ac:dyDescent="0.2">
      <c r="A262" t="s">
        <v>223</v>
      </c>
      <c r="B262" t="s">
        <v>236</v>
      </c>
      <c r="C262" t="str">
        <f>INDEX(NORMATIVOS!$C$248:$Z$248,1,MATCH($B$3,NORMATIVOS!$C$1:$Z$1,0))</f>
        <v>Proyección</v>
      </c>
      <c r="D262" t="str">
        <f>IFERROR(INDEX(CATALOGOS!$H$3:$H$6,MATCH(C262,CATALOGOS!$G$3:$G$6,0)),"")</f>
        <v>Macrociclo</v>
      </c>
      <c r="E262" t="str">
        <f>IFERROR(INDEX(CATALOGOS!$I$3:$I$6,MATCH(C262,CATALOGOS!$G$3:$G$6,0)),"")</f>
        <v>Iniciar / aprender</v>
      </c>
    </row>
    <row r="263" spans="1:5" x14ac:dyDescent="0.2">
      <c r="A263" t="s">
        <v>223</v>
      </c>
      <c r="B263" t="s">
        <v>237</v>
      </c>
      <c r="C263" t="str">
        <f>INDEX(NORMATIVOS!$C$249:$Z$249,1,MATCH($B$3,NORMATIVOS!$C$1:$Z$1,0))</f>
        <v>Proyección</v>
      </c>
      <c r="D263" t="str">
        <f>IFERROR(INDEX(CATALOGOS!$H$3:$H$6,MATCH(C263,CATALOGOS!$G$3:$G$6,0)),"")</f>
        <v>Macrociclo</v>
      </c>
      <c r="E263" t="str">
        <f>IFERROR(INDEX(CATALOGOS!$I$3:$I$6,MATCH(C263,CATALOGOS!$G$3:$G$6,0)),"")</f>
        <v>Iniciar / aprender</v>
      </c>
    </row>
    <row r="264" spans="1:5" x14ac:dyDescent="0.2">
      <c r="A264" t="s">
        <v>223</v>
      </c>
      <c r="B264" t="s">
        <v>238</v>
      </c>
      <c r="C264" t="str">
        <f>INDEX(NORMATIVOS!$C$250:$Z$250,1,MATCH($B$3,NORMATIVOS!$C$1:$Z$1,0))</f>
        <v>Proyección</v>
      </c>
      <c r="D264" t="str">
        <f>IFERROR(INDEX(CATALOGOS!$H$3:$H$6,MATCH(C264,CATALOGOS!$G$3:$G$6,0)),"")</f>
        <v>Macrociclo</v>
      </c>
      <c r="E264" t="str">
        <f>IFERROR(INDEX(CATALOGOS!$I$3:$I$6,MATCH(C264,CATALOGOS!$G$3:$G$6,0)),"")</f>
        <v>Iniciar / aprender</v>
      </c>
    </row>
    <row r="265" spans="1:5" x14ac:dyDescent="0.2">
      <c r="A265" t="s">
        <v>223</v>
      </c>
      <c r="B265" t="s">
        <v>239</v>
      </c>
      <c r="C265" t="str">
        <f>INDEX(NORMATIVOS!$C$251:$Z$251,1,MATCH($B$3,NORMATIVOS!$C$1:$Z$1,0))</f>
        <v>Proyección</v>
      </c>
      <c r="D265" t="str">
        <f>IFERROR(INDEX(CATALOGOS!$H$3:$H$6,MATCH(C265,CATALOGOS!$G$3:$G$6,0)),"")</f>
        <v>Macrociclo</v>
      </c>
      <c r="E265" t="str">
        <f>IFERROR(INDEX(CATALOGOS!$I$3:$I$6,MATCH(C265,CATALOGOS!$G$3:$G$6,0)),"")</f>
        <v>Iniciar / aprender</v>
      </c>
    </row>
    <row r="266" spans="1:5" x14ac:dyDescent="0.2">
      <c r="A266" t="s">
        <v>223</v>
      </c>
      <c r="B266" t="s">
        <v>240</v>
      </c>
      <c r="C266" t="str">
        <f>INDEX(NORMATIVOS!$C$252:$Z$252,1,MATCH($B$3,NORMATIVOS!$C$1:$Z$1,0))</f>
        <v>Proyección</v>
      </c>
      <c r="D266" t="str">
        <f>IFERROR(INDEX(CATALOGOS!$H$3:$H$6,MATCH(C266,CATALOGOS!$G$3:$G$6,0)),"")</f>
        <v>Macrociclo</v>
      </c>
      <c r="E266" t="str">
        <f>IFERROR(INDEX(CATALOGOS!$I$3:$I$6,MATCH(C266,CATALOGOS!$G$3:$G$6,0)),"")</f>
        <v>Iniciar / aprender</v>
      </c>
    </row>
    <row r="267" spans="1:5" x14ac:dyDescent="0.2">
      <c r="A267" t="s">
        <v>223</v>
      </c>
      <c r="B267" t="s">
        <v>241</v>
      </c>
      <c r="C267" t="str">
        <f>INDEX(NORMATIVOS!$C$253:$Z$253,1,MATCH($B$3,NORMATIVOS!$C$1:$Z$1,0))</f>
        <v>Proyección</v>
      </c>
      <c r="D267" t="str">
        <f>IFERROR(INDEX(CATALOGOS!$H$3:$H$6,MATCH(C267,CATALOGOS!$G$3:$G$6,0)),"")</f>
        <v>Macrociclo</v>
      </c>
      <c r="E267" t="str">
        <f>IFERROR(INDEX(CATALOGOS!$I$3:$I$6,MATCH(C267,CATALOGOS!$G$3:$G$6,0)),"")</f>
        <v>Iniciar / aprender</v>
      </c>
    </row>
    <row r="268" spans="1:5" x14ac:dyDescent="0.2">
      <c r="A268" t="s">
        <v>223</v>
      </c>
      <c r="B268" t="s">
        <v>242</v>
      </c>
      <c r="C268" t="str">
        <f>INDEX(NORMATIVOS!$C$254:$Z$254,1,MATCH($B$3,NORMATIVOS!$C$1:$Z$1,0))</f>
        <v>Proyección</v>
      </c>
      <c r="D268" t="str">
        <f>IFERROR(INDEX(CATALOGOS!$H$3:$H$6,MATCH(C268,CATALOGOS!$G$3:$G$6,0)),"")</f>
        <v>Macrociclo</v>
      </c>
      <c r="E268" t="str">
        <f>IFERROR(INDEX(CATALOGOS!$I$3:$I$6,MATCH(C268,CATALOGOS!$G$3:$G$6,0)),"")</f>
        <v>Iniciar / aprender</v>
      </c>
    </row>
    <row r="269" spans="1:5" x14ac:dyDescent="0.2">
      <c r="A269" t="s">
        <v>223</v>
      </c>
      <c r="B269" t="s">
        <v>243</v>
      </c>
      <c r="C269" t="str">
        <f>INDEX(NORMATIVOS!$C$255:$Z$255,1,MATCH($B$3,NORMATIVOS!$C$1:$Z$1,0))</f>
        <v>Proyección</v>
      </c>
      <c r="D269" t="str">
        <f>IFERROR(INDEX(CATALOGOS!$H$3:$H$6,MATCH(C269,CATALOGOS!$G$3:$G$6,0)),"")</f>
        <v>Macrociclo</v>
      </c>
      <c r="E269" t="str">
        <f>IFERROR(INDEX(CATALOGOS!$I$3:$I$6,MATCH(C269,CATALOGOS!$G$3:$G$6,0)),"")</f>
        <v>Iniciar / aprender</v>
      </c>
    </row>
    <row r="270" spans="1:5" x14ac:dyDescent="0.2">
      <c r="A270" t="s">
        <v>223</v>
      </c>
      <c r="B270" t="s">
        <v>244</v>
      </c>
      <c r="C270" t="str">
        <f>INDEX(NORMATIVOS!$C$256:$Z$256,1,MATCH($B$3,NORMATIVOS!$C$1:$Z$1,0))</f>
        <v>Proyección</v>
      </c>
      <c r="D270" t="str">
        <f>IFERROR(INDEX(CATALOGOS!$H$3:$H$6,MATCH(C270,CATALOGOS!$G$3:$G$6,0)),"")</f>
        <v>Macrociclo</v>
      </c>
      <c r="E270" t="str">
        <f>IFERROR(INDEX(CATALOGOS!$I$3:$I$6,MATCH(C270,CATALOGOS!$G$3:$G$6,0)),"")</f>
        <v>Iniciar / aprender</v>
      </c>
    </row>
    <row r="271" spans="1:5" x14ac:dyDescent="0.2">
      <c r="A271" t="s">
        <v>223</v>
      </c>
      <c r="B271" t="s">
        <v>245</v>
      </c>
      <c r="C271" t="str">
        <f>INDEX(NORMATIVOS!$C$257:$Z$257,1,MATCH($B$3,NORMATIVOS!$C$1:$Z$1,0))</f>
        <v>Proyección</v>
      </c>
      <c r="D271" t="str">
        <f>IFERROR(INDEX(CATALOGOS!$H$3:$H$6,MATCH(C271,CATALOGOS!$G$3:$G$6,0)),"")</f>
        <v>Macrociclo</v>
      </c>
      <c r="E271" t="str">
        <f>IFERROR(INDEX(CATALOGOS!$I$3:$I$6,MATCH(C271,CATALOGOS!$G$3:$G$6,0)),"")</f>
        <v>Iniciar / aprender</v>
      </c>
    </row>
    <row r="272" spans="1:5" x14ac:dyDescent="0.2">
      <c r="A272" t="s">
        <v>223</v>
      </c>
      <c r="B272" t="s">
        <v>246</v>
      </c>
      <c r="C272" t="str">
        <f>INDEX(NORMATIVOS!$C$258:$Z$258,1,MATCH($B$3,NORMATIVOS!$C$1:$Z$1,0))</f>
        <v>Proyección</v>
      </c>
      <c r="D272" t="str">
        <f>IFERROR(INDEX(CATALOGOS!$H$3:$H$6,MATCH(C272,CATALOGOS!$G$3:$G$6,0)),"")</f>
        <v>Macrociclo</v>
      </c>
      <c r="E272" t="str">
        <f>IFERROR(INDEX(CATALOGOS!$I$3:$I$6,MATCH(C272,CATALOGOS!$G$3:$G$6,0)),"")</f>
        <v>Iniciar / aprender</v>
      </c>
    </row>
    <row r="273" spans="1:5" x14ac:dyDescent="0.2">
      <c r="A273" t="s">
        <v>223</v>
      </c>
      <c r="B273" t="s">
        <v>247</v>
      </c>
      <c r="C273" t="str">
        <f>INDEX(NORMATIVOS!$C$259:$Z$259,1,MATCH($B$3,NORMATIVOS!$C$1:$Z$1,0))</f>
        <v>Proyección</v>
      </c>
      <c r="D273" t="str">
        <f>IFERROR(INDEX(CATALOGOS!$H$3:$H$6,MATCH(C273,CATALOGOS!$G$3:$G$6,0)),"")</f>
        <v>Macrociclo</v>
      </c>
      <c r="E273" t="str">
        <f>IFERROR(INDEX(CATALOGOS!$I$3:$I$6,MATCH(C273,CATALOGOS!$G$3:$G$6,0)),"")</f>
        <v>Iniciar / aprender</v>
      </c>
    </row>
    <row r="274" spans="1:5" x14ac:dyDescent="0.2">
      <c r="A274" t="s">
        <v>248</v>
      </c>
      <c r="B274" t="s">
        <v>314</v>
      </c>
      <c r="C274" t="str">
        <f>INDEX(NORMATIVOS!$C$260:$Z$260,1,MATCH($B$3,NORMATIVOS!$C$1:$Z$1,0))</f>
        <v>Consolidado</v>
      </c>
      <c r="D274" t="str">
        <f>IFERROR(INDEX(CATALOGOS!$H$3:$H$6,MATCH(C274,CATALOGOS!$G$3:$G$6,0)),"")</f>
        <v>Microciclo</v>
      </c>
      <c r="E274" t="str">
        <f>IFERROR(INDEX(CATALOGOS!$I$3:$I$6,MATCH(C274,CATALOGOS!$G$3:$G$6,0)),"")</f>
        <v>Mantener / perfeccionar</v>
      </c>
    </row>
    <row r="275" spans="1:5" x14ac:dyDescent="0.2">
      <c r="A275" t="s">
        <v>248</v>
      </c>
      <c r="B275" t="s">
        <v>250</v>
      </c>
      <c r="C275" t="str">
        <f>INDEX(NORMATIVOS!$C$261:$Z$261,1,MATCH($B$3,NORMATIVOS!$C$1:$Z$1,0))</f>
        <v>Consolidado</v>
      </c>
      <c r="D275" t="str">
        <f>IFERROR(INDEX(CATALOGOS!$H$3:$H$6,MATCH(C275,CATALOGOS!$G$3:$G$6,0)),"")</f>
        <v>Microciclo</v>
      </c>
      <c r="E275" t="str">
        <f>IFERROR(INDEX(CATALOGOS!$I$3:$I$6,MATCH(C275,CATALOGOS!$G$3:$G$6,0)),"")</f>
        <v>Mantener / perfeccionar</v>
      </c>
    </row>
    <row r="276" spans="1:5" x14ac:dyDescent="0.2">
      <c r="A276" t="s">
        <v>248</v>
      </c>
      <c r="B276" t="s">
        <v>315</v>
      </c>
      <c r="C276" t="str">
        <f>INDEX(NORMATIVOS!$C$262:$Z$262,1,MATCH($B$3,NORMATIVOS!$C$1:$Z$1,0))</f>
        <v>Consolidado</v>
      </c>
      <c r="D276" t="str">
        <f>IFERROR(INDEX(CATALOGOS!$H$3:$H$6,MATCH(C276,CATALOGOS!$G$3:$G$6,0)),"")</f>
        <v>Microciclo</v>
      </c>
      <c r="E276" t="str">
        <f>IFERROR(INDEX(CATALOGOS!$I$3:$I$6,MATCH(C276,CATALOGOS!$G$3:$G$6,0)),"")</f>
        <v>Mantener / perfeccionar</v>
      </c>
    </row>
    <row r="277" spans="1:5" x14ac:dyDescent="0.2">
      <c r="A277" t="s">
        <v>248</v>
      </c>
      <c r="B277" t="s">
        <v>252</v>
      </c>
      <c r="C277" t="str">
        <f>INDEX(NORMATIVOS!$C$263:$Z$263,1,MATCH($B$3,NORMATIVOS!$C$1:$Z$1,0))</f>
        <v>Consolidado</v>
      </c>
      <c r="D277" t="str">
        <f>IFERROR(INDEX(CATALOGOS!$H$3:$H$6,MATCH(C277,CATALOGOS!$G$3:$G$6,0)),"")</f>
        <v>Microciclo</v>
      </c>
      <c r="E277" t="str">
        <f>IFERROR(INDEX(CATALOGOS!$I$3:$I$6,MATCH(C277,CATALOGOS!$G$3:$G$6,0)),"")</f>
        <v>Mantener / perfeccionar</v>
      </c>
    </row>
    <row r="278" spans="1:5" x14ac:dyDescent="0.2">
      <c r="A278" t="s">
        <v>248</v>
      </c>
      <c r="B278" t="s">
        <v>253</v>
      </c>
      <c r="C278" t="str">
        <f>INDEX(NORMATIVOS!$C$264:$Z$264,1,MATCH($B$3,NORMATIVOS!$C$1:$Z$1,0))</f>
        <v>Consolidado</v>
      </c>
      <c r="D278" t="str">
        <f>IFERROR(INDEX(CATALOGOS!$H$3:$H$6,MATCH(C278,CATALOGOS!$G$3:$G$6,0)),"")</f>
        <v>Microciclo</v>
      </c>
      <c r="E278" t="str">
        <f>IFERROR(INDEX(CATALOGOS!$I$3:$I$6,MATCH(C278,CATALOGOS!$G$3:$G$6,0)),"")</f>
        <v>Mantener / perfeccionar</v>
      </c>
    </row>
    <row r="279" spans="1:5" x14ac:dyDescent="0.2">
      <c r="A279" t="s">
        <v>248</v>
      </c>
      <c r="B279" t="s">
        <v>316</v>
      </c>
      <c r="C279" t="str">
        <f>INDEX(NORMATIVOS!$C$265:$Z$265,1,MATCH($B$3,NORMATIVOS!$C$1:$Z$1,0))</f>
        <v>En proceso</v>
      </c>
      <c r="D279" t="str">
        <f>IFERROR(INDEX(CATALOGOS!$H$3:$H$6,MATCH(C279,CATALOGOS!$G$3:$G$6,0)),"")</f>
        <v>Mesociclo</v>
      </c>
      <c r="E279" t="str">
        <f>IFERROR(INDEX(CATALOGOS!$I$3:$I$6,MATCH(C279,CATALOGOS!$G$3:$G$6,0)),"")</f>
        <v>Desarrollar / consolidar</v>
      </c>
    </row>
    <row r="280" spans="1:5" x14ac:dyDescent="0.2">
      <c r="A280" t="s">
        <v>248</v>
      </c>
      <c r="B280" t="s">
        <v>255</v>
      </c>
      <c r="C280" t="str">
        <f>INDEX(NORMATIVOS!$C$266:$Z$266,1,MATCH($B$3,NORMATIVOS!$C$1:$Z$1,0))</f>
        <v>En proceso</v>
      </c>
      <c r="D280" t="str">
        <f>IFERROR(INDEX(CATALOGOS!$H$3:$H$6,MATCH(C280,CATALOGOS!$G$3:$G$6,0)),"")</f>
        <v>Mesociclo</v>
      </c>
      <c r="E280" t="str">
        <f>IFERROR(INDEX(CATALOGOS!$I$3:$I$6,MATCH(C280,CATALOGOS!$G$3:$G$6,0)),"")</f>
        <v>Desarrollar / consolidar</v>
      </c>
    </row>
    <row r="281" spans="1:5" x14ac:dyDescent="0.2">
      <c r="A281" t="s">
        <v>248</v>
      </c>
      <c r="B281" t="s">
        <v>256</v>
      </c>
      <c r="C281" t="str">
        <f>INDEX(NORMATIVOS!$C$267:$Z$267,1,MATCH($B$3,NORMATIVOS!$C$1:$Z$1,0))</f>
        <v>En proceso</v>
      </c>
      <c r="D281" t="str">
        <f>IFERROR(INDEX(CATALOGOS!$H$3:$H$6,MATCH(C281,CATALOGOS!$G$3:$G$6,0)),"")</f>
        <v>Mesociclo</v>
      </c>
      <c r="E281" t="str">
        <f>IFERROR(INDEX(CATALOGOS!$I$3:$I$6,MATCH(C281,CATALOGOS!$G$3:$G$6,0)),"")</f>
        <v>Desarrollar / consolidar</v>
      </c>
    </row>
    <row r="282" spans="1:5" x14ac:dyDescent="0.2">
      <c r="A282" t="s">
        <v>248</v>
      </c>
      <c r="B282" t="s">
        <v>317</v>
      </c>
      <c r="C282" t="str">
        <f>INDEX(NORMATIVOS!$C$268:$Z$268,1,MATCH($B$3,NORMATIVOS!$C$1:$Z$1,0))</f>
        <v>En proceso</v>
      </c>
      <c r="D282" t="str">
        <f>IFERROR(INDEX(CATALOGOS!$H$3:$H$6,MATCH(C282,CATALOGOS!$G$3:$G$6,0)),"")</f>
        <v>Mesociclo</v>
      </c>
      <c r="E282" t="str">
        <f>IFERROR(INDEX(CATALOGOS!$I$3:$I$6,MATCH(C282,CATALOGOS!$G$3:$G$6,0)),"")</f>
        <v>Desarrollar / consolidar</v>
      </c>
    </row>
    <row r="283" spans="1:5" x14ac:dyDescent="0.2">
      <c r="A283" t="s">
        <v>248</v>
      </c>
      <c r="B283" t="s">
        <v>258</v>
      </c>
      <c r="C283" t="str">
        <f>INDEX(NORMATIVOS!$C$269:$Z$269,1,MATCH($B$3,NORMATIVOS!$C$1:$Z$1,0))</f>
        <v>En proceso</v>
      </c>
      <c r="D283" t="str">
        <f>IFERROR(INDEX(CATALOGOS!$H$3:$H$6,MATCH(C283,CATALOGOS!$G$3:$G$6,0)),"")</f>
        <v>Mesociclo</v>
      </c>
      <c r="E283" t="str">
        <f>IFERROR(INDEX(CATALOGOS!$I$3:$I$6,MATCH(C283,CATALOGOS!$G$3:$G$6,0)),"")</f>
        <v>Desarrollar / consolidar</v>
      </c>
    </row>
    <row r="284" spans="1:5" x14ac:dyDescent="0.2">
      <c r="A284" t="s">
        <v>248</v>
      </c>
      <c r="B284" t="s">
        <v>259</v>
      </c>
      <c r="C284" t="str">
        <f>INDEX(NORMATIVOS!$C$270:$Z$270,1,MATCH($B$3,NORMATIVOS!$C$1:$Z$1,0))</f>
        <v>En proceso</v>
      </c>
      <c r="D284" t="str">
        <f>IFERROR(INDEX(CATALOGOS!$H$3:$H$6,MATCH(C284,CATALOGOS!$G$3:$G$6,0)),"")</f>
        <v>Mesociclo</v>
      </c>
      <c r="E284" t="str">
        <f>IFERROR(INDEX(CATALOGOS!$I$3:$I$6,MATCH(C284,CATALOGOS!$G$3:$G$6,0)),"")</f>
        <v>Desarrollar / consolidar</v>
      </c>
    </row>
    <row r="285" spans="1:5" x14ac:dyDescent="0.2">
      <c r="A285" t="s">
        <v>248</v>
      </c>
      <c r="B285" t="s">
        <v>260</v>
      </c>
      <c r="C285" t="str">
        <f>INDEX(NORMATIVOS!$C$271:$Z$271,1,MATCH($B$3,NORMATIVOS!$C$1:$Z$1,0))</f>
        <v>Proyección</v>
      </c>
      <c r="D285" t="str">
        <f>IFERROR(INDEX(CATALOGOS!$H$3:$H$6,MATCH(C285,CATALOGOS!$G$3:$G$6,0)),"")</f>
        <v>Macrociclo</v>
      </c>
      <c r="E285" t="str">
        <f>IFERROR(INDEX(CATALOGOS!$I$3:$I$6,MATCH(C285,CATALOGOS!$G$3:$G$6,0)),"")</f>
        <v>Iniciar / aprender</v>
      </c>
    </row>
    <row r="286" spans="1:5" x14ac:dyDescent="0.2">
      <c r="A286" t="s">
        <v>248</v>
      </c>
      <c r="B286" t="s">
        <v>261</v>
      </c>
      <c r="C286" t="str">
        <f>INDEX(NORMATIVOS!$C$272:$Z$272,1,MATCH($B$3,NORMATIVOS!$C$1:$Z$1,0))</f>
        <v>Proyección</v>
      </c>
      <c r="D286" t="str">
        <f>IFERROR(INDEX(CATALOGOS!$H$3:$H$6,MATCH(C286,CATALOGOS!$G$3:$G$6,0)),"")</f>
        <v>Macrociclo</v>
      </c>
      <c r="E286" t="str">
        <f>IFERROR(INDEX(CATALOGOS!$I$3:$I$6,MATCH(C286,CATALOGOS!$G$3:$G$6,0)),"")</f>
        <v>Iniciar / aprender</v>
      </c>
    </row>
    <row r="287" spans="1:5" x14ac:dyDescent="0.2">
      <c r="A287" t="s">
        <v>248</v>
      </c>
      <c r="B287" t="s">
        <v>262</v>
      </c>
      <c r="C287" t="str">
        <f>INDEX(NORMATIVOS!$C$273:$Z$273,1,MATCH($B$3,NORMATIVOS!$C$1:$Z$1,0))</f>
        <v>Proyección</v>
      </c>
      <c r="D287" t="str">
        <f>IFERROR(INDEX(CATALOGOS!$H$3:$H$6,MATCH(C287,CATALOGOS!$G$3:$G$6,0)),"")</f>
        <v>Macrociclo</v>
      </c>
      <c r="E287" t="str">
        <f>IFERROR(INDEX(CATALOGOS!$I$3:$I$6,MATCH(C287,CATALOGOS!$G$3:$G$6,0)),"")</f>
        <v>Iniciar / aprender</v>
      </c>
    </row>
    <row r="288" spans="1:5" x14ac:dyDescent="0.2">
      <c r="A288" t="s">
        <v>248</v>
      </c>
      <c r="B288" t="s">
        <v>263</v>
      </c>
      <c r="C288" t="str">
        <f>INDEX(NORMATIVOS!$C$274:$Z$274,1,MATCH($B$3,NORMATIVOS!$C$1:$Z$1,0))</f>
        <v>Proyección</v>
      </c>
      <c r="D288" t="str">
        <f>IFERROR(INDEX(CATALOGOS!$H$3:$H$6,MATCH(C288,CATALOGOS!$G$3:$G$6,0)),"")</f>
        <v>Macrociclo</v>
      </c>
      <c r="E288" t="str">
        <f>IFERROR(INDEX(CATALOGOS!$I$3:$I$6,MATCH(C288,CATALOGOS!$G$3:$G$6,0)),"")</f>
        <v>Iniciar / aprender</v>
      </c>
    </row>
    <row r="289" spans="1:5" x14ac:dyDescent="0.2">
      <c r="A289" t="s">
        <v>248</v>
      </c>
      <c r="B289" t="s">
        <v>264</v>
      </c>
      <c r="C289" t="str">
        <f>INDEX(NORMATIVOS!$C$275:$Z$275,1,MATCH($B$3,NORMATIVOS!$C$1:$Z$1,0))</f>
        <v>Proyección</v>
      </c>
      <c r="D289" t="str">
        <f>IFERROR(INDEX(CATALOGOS!$H$3:$H$6,MATCH(C289,CATALOGOS!$G$3:$G$6,0)),"")</f>
        <v>Macrociclo</v>
      </c>
      <c r="E289" t="str">
        <f>IFERROR(INDEX(CATALOGOS!$I$3:$I$6,MATCH(C289,CATALOGOS!$G$3:$G$6,0)),"")</f>
        <v>Iniciar / aprender</v>
      </c>
    </row>
    <row r="290" spans="1:5" x14ac:dyDescent="0.2">
      <c r="A290" t="s">
        <v>248</v>
      </c>
      <c r="B290" t="s">
        <v>265</v>
      </c>
      <c r="C290" t="str">
        <f>INDEX(NORMATIVOS!$C$276:$Z$276,1,MATCH($B$3,NORMATIVOS!$C$1:$Z$1,0))</f>
        <v>Proyección</v>
      </c>
      <c r="D290" t="str">
        <f>IFERROR(INDEX(CATALOGOS!$H$3:$H$6,MATCH(C290,CATALOGOS!$G$3:$G$6,0)),"")</f>
        <v>Macrociclo</v>
      </c>
      <c r="E290" t="str">
        <f>IFERROR(INDEX(CATALOGOS!$I$3:$I$6,MATCH(C290,CATALOGOS!$G$3:$G$6,0)),"")</f>
        <v>Iniciar / aprender</v>
      </c>
    </row>
  </sheetData>
  <autoFilter ref="A26:E290" xr:uid="{FFE706A0-A29E-6B4E-B1D3-B2ABD15D9C31}"/>
  <mergeCells count="2">
    <mergeCell ref="A1:H1"/>
    <mergeCell ref="A25:C25"/>
  </mergeCells>
  <conditionalFormatting sqref="C27:E290">
    <cfRule type="expression" dxfId="7" priority="1">
      <formula>C27="Consolidado"</formula>
    </cfRule>
    <cfRule type="expression" dxfId="6" priority="2">
      <formula>C27="En proceso"</formula>
    </cfRule>
    <cfRule type="expression" dxfId="5" priority="3">
      <formula>C27="Proyección"</formula>
    </cfRule>
    <cfRule type="expression" dxfId="4" priority="4">
      <formula>C27="N/A"</formula>
    </cfRule>
  </conditionalFormatting>
  <pageMargins left="0.75" right="0.75" top="1" bottom="1" header="0.5" footer="0.5"/>
  <pageSetup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D5805-7A16-D64C-8736-F1FAF1D2E8B1}">
  <sheetPr>
    <pageSetUpPr fitToPage="1"/>
  </sheetPr>
  <dimension ref="A1:I290"/>
  <sheetViews>
    <sheetView showGridLines="0" zoomScale="90" workbookViewId="0">
      <selection activeCell="C204" sqref="C204"/>
    </sheetView>
  </sheetViews>
  <sheetFormatPr baseColWidth="10" defaultColWidth="8.83203125" defaultRowHeight="15" x14ac:dyDescent="0.2"/>
  <cols>
    <col min="1" max="1" width="30" bestFit="1" customWidth="1"/>
    <col min="2" max="2" width="54" customWidth="1"/>
    <col min="3" max="3" width="18" customWidth="1"/>
    <col min="4" max="5" width="25" customWidth="1"/>
    <col min="6" max="7" width="14" customWidth="1"/>
    <col min="8" max="8" width="13" customWidth="1"/>
    <col min="9" max="9" width="18.33203125" customWidth="1"/>
  </cols>
  <sheetData>
    <row r="1" spans="1:9" ht="22" x14ac:dyDescent="0.3">
      <c r="A1" s="62" t="s">
        <v>339</v>
      </c>
      <c r="B1" s="59"/>
      <c r="C1" s="59"/>
      <c r="D1" s="59"/>
      <c r="E1" s="59"/>
      <c r="F1" s="59"/>
      <c r="G1" s="59"/>
      <c r="H1" s="59"/>
    </row>
    <row r="3" spans="1:9" x14ac:dyDescent="0.2">
      <c r="A3" s="14" t="s">
        <v>286</v>
      </c>
      <c r="B3" t="str">
        <f>NORMATIVOS!D1</f>
        <v>Felix Mogollon</v>
      </c>
    </row>
    <row r="5" spans="1:9" x14ac:dyDescent="0.2">
      <c r="A5" s="11" t="s">
        <v>287</v>
      </c>
      <c r="D5" s="11" t="s">
        <v>288</v>
      </c>
      <c r="E5" s="11" t="s">
        <v>3</v>
      </c>
      <c r="F5" s="11" t="s">
        <v>273</v>
      </c>
      <c r="G5" s="11" t="s">
        <v>4</v>
      </c>
      <c r="H5" s="11" t="s">
        <v>283</v>
      </c>
      <c r="I5" s="11" t="s">
        <v>340</v>
      </c>
    </row>
    <row r="6" spans="1:9" x14ac:dyDescent="0.2">
      <c r="A6" s="14" t="s">
        <v>281</v>
      </c>
      <c r="B6">
        <f>INDEX(CONSOLIDADO!$B$4:$B$5,MATCH($B$3,CONSOLIDADO!$A$4:$A$5,0))</f>
        <v>264</v>
      </c>
      <c r="D6" t="s">
        <v>1</v>
      </c>
      <c r="E6">
        <f>--(INDEX(NORMATIVOS!$C$3:$Z$3,1,MATCH($B$3,NORMATIVOS!$C$1:$Z$1,0))="Consolidado")+--(INDEX(NORMATIVOS!$C$4:$Z$4,1,MATCH($B$3,NORMATIVOS!$C$1:$Z$1,0))="Consolidado")+--(INDEX(NORMATIVOS!$C$5:$Z$5,1,MATCH($B$3,NORMATIVOS!$C$1:$Z$1,0))="Consolidado")+--(INDEX(NORMATIVOS!$C$6:$Z$6,1,MATCH($B$3,NORMATIVOS!$C$1:$Z$1,0))="Consolidado")+--(INDEX(NORMATIVOS!$C$7:$Z$7,1,MATCH($B$3,NORMATIVOS!$C$1:$Z$1,0))="Consolidado")+--(INDEX(NORMATIVOS!$C$8:$Z$8,1,MATCH($B$3,NORMATIVOS!$C$1:$Z$1,0))="Consolidado")+--(INDEX(NORMATIVOS!$C$9:$Z$9,1,MATCH($B$3,NORMATIVOS!$C$1:$Z$1,0))="Consolidado")+--(INDEX(NORMATIVOS!$C$10:$Z$10,1,MATCH($B$3,NORMATIVOS!$C$1:$Z$1,0))="Consolidado")+--(INDEX(NORMATIVOS!$C$11:$Z$11,1,MATCH($B$3,NORMATIVOS!$C$1:$Z$1,0))="Consolidado")+--(INDEX(NORMATIVOS!$C$12:$Z$12,1,MATCH($B$3,NORMATIVOS!$C$1:$Z$1,0))="Consolidado")+--(INDEX(NORMATIVOS!$C$13:$Z$13,1,MATCH($B$3,NORMATIVOS!$C$1:$Z$1,0))="Consolidado")+--(INDEX(NORMATIVOS!$C$14:$Z$14,1,MATCH($B$3,NORMATIVOS!$C$1:$Z$1,0))="Consolidado")+--(INDEX(NORMATIVOS!$C$15:$Z$15,1,MATCH($B$3,NORMATIVOS!$C$1:$Z$1,0))="Consolidado")+--(INDEX(NORMATIVOS!$C$16:$Z$16,1,MATCH($B$3,NORMATIVOS!$C$1:$Z$1,0))="Consolidado")</f>
        <v>6</v>
      </c>
      <c r="F6">
        <f>--(INDEX(NORMATIVOS!$C$3:$Z$3,1,MATCH($B$3,NORMATIVOS!$C$1:$Z$1,0))="En proceso")+--(INDEX(NORMATIVOS!$C$4:$Z$4,1,MATCH($B$3,NORMATIVOS!$C$1:$Z$1,0))="En proceso")+--(INDEX(NORMATIVOS!$C$5:$Z$5,1,MATCH($B$3,NORMATIVOS!$C$1:$Z$1,0))="En proceso")+--(INDEX(NORMATIVOS!$C$6:$Z$6,1,MATCH($B$3,NORMATIVOS!$C$1:$Z$1,0))="En proceso")+--(INDEX(NORMATIVOS!$C$7:$Z$7,1,MATCH($B$3,NORMATIVOS!$C$1:$Z$1,0))="En proceso")+--(INDEX(NORMATIVOS!$C$8:$Z$8,1,MATCH($B$3,NORMATIVOS!$C$1:$Z$1,0))="En proceso")+--(INDEX(NORMATIVOS!$C$9:$Z$9,1,MATCH($B$3,NORMATIVOS!$C$1:$Z$1,0))="En proceso")+--(INDEX(NORMATIVOS!$C$10:$Z$10,1,MATCH($B$3,NORMATIVOS!$C$1:$Z$1,0))="En proceso")+--(INDEX(NORMATIVOS!$C$11:$Z$11,1,MATCH($B$3,NORMATIVOS!$C$1:$Z$1,0))="En proceso")+--(INDEX(NORMATIVOS!$C$12:$Z$12,1,MATCH($B$3,NORMATIVOS!$C$1:$Z$1,0))="En proceso")+--(INDEX(NORMATIVOS!$C$13:$Z$13,1,MATCH($B$3,NORMATIVOS!$C$1:$Z$1,0))="En proceso")+--(INDEX(NORMATIVOS!$C$14:$Z$14,1,MATCH($B$3,NORMATIVOS!$C$1:$Z$1,0))="En proceso")+--(INDEX(NORMATIVOS!$C$15:$Z$15,1,MATCH($B$3,NORMATIVOS!$C$1:$Z$1,0))="En proceso")+--(INDEX(NORMATIVOS!$C$16:$Z$16,1,MATCH($B$3,NORMATIVOS!$C$1:$Z$1,0))="En proceso")</f>
        <v>8</v>
      </c>
      <c r="G6">
        <f>--(INDEX(NORMATIVOS!$C$3:$Z$3,1,MATCH($B$3,NORMATIVOS!$C$1:$Z$1,0))="Proyección")+--(INDEX(NORMATIVOS!$C$4:$Z$4,1,MATCH($B$3,NORMATIVOS!$C$1:$Z$1,0))="Proyección")+--(INDEX(NORMATIVOS!$C$5:$Z$5,1,MATCH($B$3,NORMATIVOS!$C$1:$Z$1,0))="Proyección")+--(INDEX(NORMATIVOS!$C$6:$Z$6,1,MATCH($B$3,NORMATIVOS!$C$1:$Z$1,0))="Proyección")+--(INDEX(NORMATIVOS!$C$7:$Z$7,1,MATCH($B$3,NORMATIVOS!$C$1:$Z$1,0))="Proyección")+--(INDEX(NORMATIVOS!$C$8:$Z$8,1,MATCH($B$3,NORMATIVOS!$C$1:$Z$1,0))="Proyección")+--(INDEX(NORMATIVOS!$C$9:$Z$9,1,MATCH($B$3,NORMATIVOS!$C$1:$Z$1,0))="Proyección")+--(INDEX(NORMATIVOS!$C$10:$Z$10,1,MATCH($B$3,NORMATIVOS!$C$1:$Z$1,0))="Proyección")+--(INDEX(NORMATIVOS!$C$11:$Z$11,1,MATCH($B$3,NORMATIVOS!$C$1:$Z$1,0))="Proyección")+--(INDEX(NORMATIVOS!$C$12:$Z$12,1,MATCH($B$3,NORMATIVOS!$C$1:$Z$1,0))="Proyección")+--(INDEX(NORMATIVOS!$C$13:$Z$13,1,MATCH($B$3,NORMATIVOS!$C$1:$Z$1,0))="Proyección")+--(INDEX(NORMATIVOS!$C$14:$Z$14,1,MATCH($B$3,NORMATIVOS!$C$1:$Z$1,0))="Proyección")+--(INDEX(NORMATIVOS!$C$15:$Z$15,1,MATCH($B$3,NORMATIVOS!$C$1:$Z$1,0))="Proyección")+--(INDEX(NORMATIVOS!$C$16:$Z$16,1,MATCH($B$3,NORMATIVOS!$C$1:$Z$1,0))="Proyección")</f>
        <v>0</v>
      </c>
      <c r="H6" s="15">
        <f t="shared" ref="H6:H21" si="0">IFERROR(E6/(E6+F6+G6),0)</f>
        <v>0.42857142857142855</v>
      </c>
      <c r="I6" t="str">
        <f>IF(F6&gt;0,CATALOGOS!$H$4,IF(G6&gt;0,CATALOGOS!$H$5,CATALOGOS!$H$3))</f>
        <v>Mesociclo</v>
      </c>
    </row>
    <row r="7" spans="1:9" x14ac:dyDescent="0.2">
      <c r="A7" s="14" t="s">
        <v>282</v>
      </c>
      <c r="B7">
        <f>INDEX(CONSOLIDADO!$C$4:$C$5,MATCH($B$3,CONSOLIDADO!$A$4:$A$5,0))</f>
        <v>110</v>
      </c>
      <c r="D7" t="s">
        <v>271</v>
      </c>
      <c r="E7">
        <f>--(INDEX(NORMATIVOS!$C$17:$Z$17,1,MATCH($B$3,NORMATIVOS!$C$1:$Z$1,0))="Consolidado")+--(INDEX(NORMATIVOS!$C$18:$Z$18,1,MATCH($B$3,NORMATIVOS!$C$1:$Z$1,0))="Consolidado")+--(INDEX(NORMATIVOS!$C$19:$Z$19,1,MATCH($B$3,NORMATIVOS!$C$1:$Z$1,0))="Consolidado")+--(INDEX(NORMATIVOS!$C$20:$Z$20,1,MATCH($B$3,NORMATIVOS!$C$1:$Z$1,0))="Consolidado")+--(INDEX(NORMATIVOS!$C$21:$Z$21,1,MATCH($B$3,NORMATIVOS!$C$1:$Z$1,0))="Consolidado")+--(INDEX(NORMATIVOS!$C$22:$Z$22,1,MATCH($B$3,NORMATIVOS!$C$1:$Z$1,0))="Consolidado")+--(INDEX(NORMATIVOS!$C$23:$Z$23,1,MATCH($B$3,NORMATIVOS!$C$1:$Z$1,0))="Consolidado")+--(INDEX(NORMATIVOS!$C$24:$Z$24,1,MATCH($B$3,NORMATIVOS!$C$1:$Z$1,0))="Consolidado")+--(INDEX(NORMATIVOS!$C$25:$Z$25,1,MATCH($B$3,NORMATIVOS!$C$1:$Z$1,0))="Consolidado")+--(INDEX(NORMATIVOS!$C$26:$Z$26,1,MATCH($B$3,NORMATIVOS!$C$1:$Z$1,0))="Consolidado")+--(INDEX(NORMATIVOS!$C$27:$Z$27,1,MATCH($B$3,NORMATIVOS!$C$1:$Z$1,0))="Consolidado")</f>
        <v>8</v>
      </c>
      <c r="F7">
        <f>--(INDEX(NORMATIVOS!$C$17:$Z$17,1,MATCH($B$3,NORMATIVOS!$C$1:$Z$1,0))="En proceso")+--(INDEX(NORMATIVOS!$C$18:$Z$18,1,MATCH($B$3,NORMATIVOS!$C$1:$Z$1,0))="En proceso")+--(INDEX(NORMATIVOS!$C$19:$Z$19,1,MATCH($B$3,NORMATIVOS!$C$1:$Z$1,0))="En proceso")+--(INDEX(NORMATIVOS!$C$20:$Z$20,1,MATCH($B$3,NORMATIVOS!$C$1:$Z$1,0))="En proceso")+--(INDEX(NORMATIVOS!$C$21:$Z$21,1,MATCH($B$3,NORMATIVOS!$C$1:$Z$1,0))="En proceso")+--(INDEX(NORMATIVOS!$C$22:$Z$22,1,MATCH($B$3,NORMATIVOS!$C$1:$Z$1,0))="En proceso")+--(INDEX(NORMATIVOS!$C$23:$Z$23,1,MATCH($B$3,NORMATIVOS!$C$1:$Z$1,0))="En proceso")+--(INDEX(NORMATIVOS!$C$24:$Z$24,1,MATCH($B$3,NORMATIVOS!$C$1:$Z$1,0))="En proceso")+--(INDEX(NORMATIVOS!$C$25:$Z$25,1,MATCH($B$3,NORMATIVOS!$C$1:$Z$1,0))="En proceso")+--(INDEX(NORMATIVOS!$C$26:$Z$26,1,MATCH($B$3,NORMATIVOS!$C$1:$Z$1,0))="En proceso")+--(INDEX(NORMATIVOS!$C$27:$Z$27,1,MATCH($B$3,NORMATIVOS!$C$1:$Z$1,0))="En proceso")</f>
        <v>2</v>
      </c>
      <c r="G7">
        <f>--(INDEX(NORMATIVOS!$C$17:$Z$17,1,MATCH($B$3,NORMATIVOS!$C$1:$Z$1,0))="Proyección")+--(INDEX(NORMATIVOS!$C$18:$Z$18,1,MATCH($B$3,NORMATIVOS!$C$1:$Z$1,0))="Proyección")+--(INDEX(NORMATIVOS!$C$19:$Z$19,1,MATCH($B$3,NORMATIVOS!$C$1:$Z$1,0))="Proyección")+--(INDEX(NORMATIVOS!$C$20:$Z$20,1,MATCH($B$3,NORMATIVOS!$C$1:$Z$1,0))="Proyección")+--(INDEX(NORMATIVOS!$C$21:$Z$21,1,MATCH($B$3,NORMATIVOS!$C$1:$Z$1,0))="Proyección")+--(INDEX(NORMATIVOS!$C$22:$Z$22,1,MATCH($B$3,NORMATIVOS!$C$1:$Z$1,0))="Proyección")+--(INDEX(NORMATIVOS!$C$23:$Z$23,1,MATCH($B$3,NORMATIVOS!$C$1:$Z$1,0))="Proyección")+--(INDEX(NORMATIVOS!$C$24:$Z$24,1,MATCH($B$3,NORMATIVOS!$C$1:$Z$1,0))="Proyección")+--(INDEX(NORMATIVOS!$C$25:$Z$25,1,MATCH($B$3,NORMATIVOS!$C$1:$Z$1,0))="Proyección")+--(INDEX(NORMATIVOS!$C$26:$Z$26,1,MATCH($B$3,NORMATIVOS!$C$1:$Z$1,0))="Proyección")+--(INDEX(NORMATIVOS!$C$27:$Z$27,1,MATCH($B$3,NORMATIVOS!$C$1:$Z$1,0))="Proyección")</f>
        <v>1</v>
      </c>
      <c r="H7" s="15">
        <f t="shared" si="0"/>
        <v>0.72727272727272729</v>
      </c>
      <c r="I7" t="str">
        <f>IF(F7&gt;0,CATALOGOS!$H$4,IF(G7&gt;0,CATALOGOS!$H$5,CATALOGOS!$H$3))</f>
        <v>Mesociclo</v>
      </c>
    </row>
    <row r="8" spans="1:9" x14ac:dyDescent="0.2">
      <c r="A8" s="14" t="s">
        <v>273</v>
      </c>
      <c r="B8">
        <f>INDEX(CONSOLIDADO!$D$4:$D$5,MATCH($B$3,CONSOLIDADO!$A$4:$A$5,0))</f>
        <v>53</v>
      </c>
      <c r="D8" t="s">
        <v>274</v>
      </c>
      <c r="E8">
        <f>--(INDEX(NORMATIVOS!$C$28:$Z$28,1,MATCH($B$3,NORMATIVOS!$C$1:$Z$1,0))="Consolidado")+--(INDEX(NORMATIVOS!$C$29:$Z$29,1,MATCH($B$3,NORMATIVOS!$C$1:$Z$1,0))="Consolidado")+--(INDEX(NORMATIVOS!$C$30:$Z$30,1,MATCH($B$3,NORMATIVOS!$C$1:$Z$1,0))="Consolidado")+--(INDEX(NORMATIVOS!$C$31:$Z$31,1,MATCH($B$3,NORMATIVOS!$C$1:$Z$1,0))="Consolidado")+--(INDEX(NORMATIVOS!$C$32:$Z$32,1,MATCH($B$3,NORMATIVOS!$C$1:$Z$1,0))="Consolidado")+--(INDEX(NORMATIVOS!$C$33:$Z$33,1,MATCH($B$3,NORMATIVOS!$C$1:$Z$1,0))="Consolidado")+--(INDEX(NORMATIVOS!$C$34:$Z$34,1,MATCH($B$3,NORMATIVOS!$C$1:$Z$1,0))="Consolidado")+--(INDEX(NORMATIVOS!$C$35:$Z$35,1,MATCH($B$3,NORMATIVOS!$C$1:$Z$1,0))="Consolidado")+--(INDEX(NORMATIVOS!$C$36:$Z$36,1,MATCH($B$3,NORMATIVOS!$C$1:$Z$1,0))="Consolidado")+--(INDEX(NORMATIVOS!$C$37:$Z$37,1,MATCH($B$3,NORMATIVOS!$C$1:$Z$1,0))="Consolidado")</f>
        <v>3</v>
      </c>
      <c r="F8">
        <f>--(INDEX(NORMATIVOS!$C$28:$Z$28,1,MATCH($B$3,NORMATIVOS!$C$1:$Z$1,0))="En proceso")+--(INDEX(NORMATIVOS!$C$29:$Z$29,1,MATCH($B$3,NORMATIVOS!$C$1:$Z$1,0))="En proceso")+--(INDEX(NORMATIVOS!$C$30:$Z$30,1,MATCH($B$3,NORMATIVOS!$C$1:$Z$1,0))="En proceso")+--(INDEX(NORMATIVOS!$C$31:$Z$31,1,MATCH($B$3,NORMATIVOS!$C$1:$Z$1,0))="En proceso")+--(INDEX(NORMATIVOS!$C$32:$Z$32,1,MATCH($B$3,NORMATIVOS!$C$1:$Z$1,0))="En proceso")+--(INDEX(NORMATIVOS!$C$33:$Z$33,1,MATCH($B$3,NORMATIVOS!$C$1:$Z$1,0))="En proceso")+--(INDEX(NORMATIVOS!$C$34:$Z$34,1,MATCH($B$3,NORMATIVOS!$C$1:$Z$1,0))="En proceso")+--(INDEX(NORMATIVOS!$C$35:$Z$35,1,MATCH($B$3,NORMATIVOS!$C$1:$Z$1,0))="En proceso")+--(INDEX(NORMATIVOS!$C$36:$Z$36,1,MATCH($B$3,NORMATIVOS!$C$1:$Z$1,0))="En proceso")+--(INDEX(NORMATIVOS!$C$37:$Z$37,1,MATCH($B$3,NORMATIVOS!$C$1:$Z$1,0))="En proceso")</f>
        <v>6</v>
      </c>
      <c r="G8">
        <f>--(INDEX(NORMATIVOS!$C$28:$Z$28,1,MATCH($B$3,NORMATIVOS!$C$1:$Z$1,0))="Proyección")+--(INDEX(NORMATIVOS!$C$29:$Z$29,1,MATCH($B$3,NORMATIVOS!$C$1:$Z$1,0))="Proyección")+--(INDEX(NORMATIVOS!$C$30:$Z$30,1,MATCH($B$3,NORMATIVOS!$C$1:$Z$1,0))="Proyección")+--(INDEX(NORMATIVOS!$C$31:$Z$31,1,MATCH($B$3,NORMATIVOS!$C$1:$Z$1,0))="Proyección")+--(INDEX(NORMATIVOS!$C$32:$Z$32,1,MATCH($B$3,NORMATIVOS!$C$1:$Z$1,0))="Proyección")+--(INDEX(NORMATIVOS!$C$33:$Z$33,1,MATCH($B$3,NORMATIVOS!$C$1:$Z$1,0))="Proyección")+--(INDEX(NORMATIVOS!$C$34:$Z$34,1,MATCH($B$3,NORMATIVOS!$C$1:$Z$1,0))="Proyección")+--(INDEX(NORMATIVOS!$C$35:$Z$35,1,MATCH($B$3,NORMATIVOS!$C$1:$Z$1,0))="Proyección")+--(INDEX(NORMATIVOS!$C$36:$Z$36,1,MATCH($B$3,NORMATIVOS!$C$1:$Z$1,0))="Proyección")+--(INDEX(NORMATIVOS!$C$37:$Z$37,1,MATCH($B$3,NORMATIVOS!$C$1:$Z$1,0))="Proyección")</f>
        <v>1</v>
      </c>
      <c r="H8" s="15">
        <f t="shared" si="0"/>
        <v>0.3</v>
      </c>
      <c r="I8" t="str">
        <f>IF(F8&gt;0,CATALOGOS!$H$4,IF(G8&gt;0,CATALOGOS!$H$5,CATALOGOS!$H$3))</f>
        <v>Mesociclo</v>
      </c>
    </row>
    <row r="9" spans="1:9" x14ac:dyDescent="0.2">
      <c r="A9" s="14" t="s">
        <v>4</v>
      </c>
      <c r="B9">
        <f>INDEX(CONSOLIDADO!$E$4:$E$5,MATCH($B$3,CONSOLIDADO!$A$4:$A$5,0))</f>
        <v>100</v>
      </c>
      <c r="D9" t="s">
        <v>276</v>
      </c>
      <c r="E9">
        <f>--(INDEX(NORMATIVOS!$C$38:$Z$38,1,MATCH($B$3,NORMATIVOS!$C$1:$Z$1,0))="Consolidado")+--(INDEX(NORMATIVOS!$C$39:$Z$39,1,MATCH($B$3,NORMATIVOS!$C$1:$Z$1,0))="Consolidado")+--(INDEX(NORMATIVOS!$C$40:$Z$40,1,MATCH($B$3,NORMATIVOS!$C$1:$Z$1,0))="Consolidado")+--(INDEX(NORMATIVOS!$C$41:$Z$41,1,MATCH($B$3,NORMATIVOS!$C$1:$Z$1,0))="Consolidado")+--(INDEX(NORMATIVOS!$C$42:$Z$42,1,MATCH($B$3,NORMATIVOS!$C$1:$Z$1,0))="Consolidado")+--(INDEX(NORMATIVOS!$C$43:$Z$43,1,MATCH($B$3,NORMATIVOS!$C$1:$Z$1,0))="Consolidado")+--(INDEX(NORMATIVOS!$C$44:$Z$44,1,MATCH($B$3,NORMATIVOS!$C$1:$Z$1,0))="Consolidado")+--(INDEX(NORMATIVOS!$C$45:$Z$45,1,MATCH($B$3,NORMATIVOS!$C$1:$Z$1,0))="Consolidado")+--(INDEX(NORMATIVOS!$C$46:$Z$46,1,MATCH($B$3,NORMATIVOS!$C$1:$Z$1,0))="Consolidado")</f>
        <v>0</v>
      </c>
      <c r="F9">
        <f>--(INDEX(NORMATIVOS!$C$38:$Z$38,1,MATCH($B$3,NORMATIVOS!$C$1:$Z$1,0))="En proceso")+--(INDEX(NORMATIVOS!$C$39:$Z$39,1,MATCH($B$3,NORMATIVOS!$C$1:$Z$1,0))="En proceso")+--(INDEX(NORMATIVOS!$C$40:$Z$40,1,MATCH($B$3,NORMATIVOS!$C$1:$Z$1,0))="En proceso")+--(INDEX(NORMATIVOS!$C$41:$Z$41,1,MATCH($B$3,NORMATIVOS!$C$1:$Z$1,0))="En proceso")+--(INDEX(NORMATIVOS!$C$42:$Z$42,1,MATCH($B$3,NORMATIVOS!$C$1:$Z$1,0))="En proceso")+--(INDEX(NORMATIVOS!$C$43:$Z$43,1,MATCH($B$3,NORMATIVOS!$C$1:$Z$1,0))="En proceso")+--(INDEX(NORMATIVOS!$C$44:$Z$44,1,MATCH($B$3,NORMATIVOS!$C$1:$Z$1,0))="En proceso")+--(INDEX(NORMATIVOS!$C$45:$Z$45,1,MATCH($B$3,NORMATIVOS!$C$1:$Z$1,0))="En proceso")+--(INDEX(NORMATIVOS!$C$46:$Z$46,1,MATCH($B$3,NORMATIVOS!$C$1:$Z$1,0))="En proceso")</f>
        <v>8</v>
      </c>
      <c r="G9">
        <f>--(INDEX(NORMATIVOS!$C$38:$Z$38,1,MATCH($B$3,NORMATIVOS!$C$1:$Z$1,0))="Proyección")+--(INDEX(NORMATIVOS!$C$39:$Z$39,1,MATCH($B$3,NORMATIVOS!$C$1:$Z$1,0))="Proyección")+--(INDEX(NORMATIVOS!$C$40:$Z$40,1,MATCH($B$3,NORMATIVOS!$C$1:$Z$1,0))="Proyección")+--(INDEX(NORMATIVOS!$C$41:$Z$41,1,MATCH($B$3,NORMATIVOS!$C$1:$Z$1,0))="Proyección")+--(INDEX(NORMATIVOS!$C$42:$Z$42,1,MATCH($B$3,NORMATIVOS!$C$1:$Z$1,0))="Proyección")+--(INDEX(NORMATIVOS!$C$43:$Z$43,1,MATCH($B$3,NORMATIVOS!$C$1:$Z$1,0))="Proyección")+--(INDEX(NORMATIVOS!$C$44:$Z$44,1,MATCH($B$3,NORMATIVOS!$C$1:$Z$1,0))="Proyección")+--(INDEX(NORMATIVOS!$C$45:$Z$45,1,MATCH($B$3,NORMATIVOS!$C$1:$Z$1,0))="Proyección")+--(INDEX(NORMATIVOS!$C$46:$Z$46,1,MATCH($B$3,NORMATIVOS!$C$1:$Z$1,0))="Proyección")</f>
        <v>0</v>
      </c>
      <c r="H9" s="15">
        <f t="shared" si="0"/>
        <v>0</v>
      </c>
      <c r="I9" t="str">
        <f>IF(F9&gt;0,CATALOGOS!$H$4,IF(G9&gt;0,CATALOGOS!$H$5,CATALOGOS!$H$3))</f>
        <v>Mesociclo</v>
      </c>
    </row>
    <row r="10" spans="1:9" x14ac:dyDescent="0.2">
      <c r="A10" s="14" t="s">
        <v>269</v>
      </c>
      <c r="B10">
        <f>INDEX(CONSOLIDADO!$F$4:$F$5,MATCH($B$3,CONSOLIDADO!$A$4:$A$5,0))</f>
        <v>1</v>
      </c>
      <c r="D10" t="s">
        <v>52</v>
      </c>
      <c r="E10">
        <f>--(INDEX(NORMATIVOS!$C$49:$Z$49,1,MATCH($B$3,NORMATIVOS!$C$1:$Z$1,0))="Consolidado")+--(INDEX(NORMATIVOS!$C$50:$Z$50,1,MATCH($B$3,NORMATIVOS!$C$1:$Z$1,0))="Consolidado")+--(INDEX(NORMATIVOS!$C$51:$Z$51,1,MATCH($B$3,NORMATIVOS!$C$1:$Z$1,0))="Consolidado")+--(INDEX(NORMATIVOS!$C$52:$Z$52,1,MATCH($B$3,NORMATIVOS!$C$1:$Z$1,0))="Consolidado")+--(INDEX(NORMATIVOS!$C$53:$Z$53,1,MATCH($B$3,NORMATIVOS!$C$1:$Z$1,0))="Consolidado")+--(INDEX(NORMATIVOS!$C$54:$Z$54,1,MATCH($B$3,NORMATIVOS!$C$1:$Z$1,0))="Consolidado")+--(INDEX(NORMATIVOS!$C$55:$Z$55,1,MATCH($B$3,NORMATIVOS!$C$1:$Z$1,0))="Consolidado")+--(INDEX(NORMATIVOS!$C$56:$Z$56,1,MATCH($B$3,NORMATIVOS!$C$1:$Z$1,0))="Consolidado")+--(INDEX(NORMATIVOS!$C$57:$Z$57,1,MATCH($B$3,NORMATIVOS!$C$1:$Z$1,0))="Consolidado")+--(INDEX(NORMATIVOS!$C$58:$Z$58,1,MATCH($B$3,NORMATIVOS!$C$1:$Z$1,0))="Consolidado")+--(INDEX(NORMATIVOS!$C$59:$Z$59,1,MATCH($B$3,NORMATIVOS!$C$1:$Z$1,0))="Consolidado")+--(INDEX(NORMATIVOS!$C$60:$Z$60,1,MATCH($B$3,NORMATIVOS!$C$1:$Z$1,0))="Consolidado")+--(INDEX(NORMATIVOS!$C$61:$Z$61,1,MATCH($B$3,NORMATIVOS!$C$1:$Z$1,0))="Consolidado")+--(INDEX(NORMATIVOS!$C$62:$Z$62,1,MATCH($B$3,NORMATIVOS!$C$1:$Z$1,0))="Consolidado")+--(INDEX(NORMATIVOS!$C$63:$Z$63,1,MATCH($B$3,NORMATIVOS!$C$1:$Z$1,0))="Consolidado")+--(INDEX(NORMATIVOS!$C$64:$Z$64,1,MATCH($B$3,NORMATIVOS!$C$1:$Z$1,0))="Consolidado")</f>
        <v>13</v>
      </c>
      <c r="F10">
        <f>--(INDEX(NORMATIVOS!$C$49:$Z$49,1,MATCH($B$3,NORMATIVOS!$C$1:$Z$1,0))="En proceso")+--(INDEX(NORMATIVOS!$C$50:$Z$50,1,MATCH($B$3,NORMATIVOS!$C$1:$Z$1,0))="En proceso")+--(INDEX(NORMATIVOS!$C$51:$Z$51,1,MATCH($B$3,NORMATIVOS!$C$1:$Z$1,0))="En proceso")+--(INDEX(NORMATIVOS!$C$52:$Z$52,1,MATCH($B$3,NORMATIVOS!$C$1:$Z$1,0))="En proceso")+--(INDEX(NORMATIVOS!$C$53:$Z$53,1,MATCH($B$3,NORMATIVOS!$C$1:$Z$1,0))="En proceso")+--(INDEX(NORMATIVOS!$C$54:$Z$54,1,MATCH($B$3,NORMATIVOS!$C$1:$Z$1,0))="En proceso")+--(INDEX(NORMATIVOS!$C$55:$Z$55,1,MATCH($B$3,NORMATIVOS!$C$1:$Z$1,0))="En proceso")+--(INDEX(NORMATIVOS!$C$56:$Z$56,1,MATCH($B$3,NORMATIVOS!$C$1:$Z$1,0))="En proceso")+--(INDEX(NORMATIVOS!$C$57:$Z$57,1,MATCH($B$3,NORMATIVOS!$C$1:$Z$1,0))="En proceso")+--(INDEX(NORMATIVOS!$C$58:$Z$58,1,MATCH($B$3,NORMATIVOS!$C$1:$Z$1,0))="En proceso")+--(INDEX(NORMATIVOS!$C$59:$Z$59,1,MATCH($B$3,NORMATIVOS!$C$1:$Z$1,0))="En proceso")+--(INDEX(NORMATIVOS!$C$60:$Z$60,1,MATCH($B$3,NORMATIVOS!$C$1:$Z$1,0))="En proceso")+--(INDEX(NORMATIVOS!$C$61:$Z$61,1,MATCH($B$3,NORMATIVOS!$C$1:$Z$1,0))="En proceso")+--(INDEX(NORMATIVOS!$C$62:$Z$62,1,MATCH($B$3,NORMATIVOS!$C$1:$Z$1,0))="En proceso")+--(INDEX(NORMATIVOS!$C$63:$Z$63,1,MATCH($B$3,NORMATIVOS!$C$1:$Z$1,0))="En proceso")+--(INDEX(NORMATIVOS!$C$64:$Z$64,1,MATCH($B$3,NORMATIVOS!$C$1:$Z$1,0))="En proceso")</f>
        <v>1</v>
      </c>
      <c r="G10">
        <f>--(INDEX(NORMATIVOS!$C$49:$Z$49,1,MATCH($B$3,NORMATIVOS!$C$1:$Z$1,0))="Proyección")+--(INDEX(NORMATIVOS!$C$50:$Z$50,1,MATCH($B$3,NORMATIVOS!$C$1:$Z$1,0))="Proyección")+--(INDEX(NORMATIVOS!$C$51:$Z$51,1,MATCH($B$3,NORMATIVOS!$C$1:$Z$1,0))="Proyección")+--(INDEX(NORMATIVOS!$C$52:$Z$52,1,MATCH($B$3,NORMATIVOS!$C$1:$Z$1,0))="Proyección")+--(INDEX(NORMATIVOS!$C$53:$Z$53,1,MATCH($B$3,NORMATIVOS!$C$1:$Z$1,0))="Proyección")+--(INDEX(NORMATIVOS!$C$54:$Z$54,1,MATCH($B$3,NORMATIVOS!$C$1:$Z$1,0))="Proyección")+--(INDEX(NORMATIVOS!$C$55:$Z$55,1,MATCH($B$3,NORMATIVOS!$C$1:$Z$1,0))="Proyección")+--(INDEX(NORMATIVOS!$C$56:$Z$56,1,MATCH($B$3,NORMATIVOS!$C$1:$Z$1,0))="Proyección")+--(INDEX(NORMATIVOS!$C$57:$Z$57,1,MATCH($B$3,NORMATIVOS!$C$1:$Z$1,0))="Proyección")+--(INDEX(NORMATIVOS!$C$58:$Z$58,1,MATCH($B$3,NORMATIVOS!$C$1:$Z$1,0))="Proyección")+--(INDEX(NORMATIVOS!$C$59:$Z$59,1,MATCH($B$3,NORMATIVOS!$C$1:$Z$1,0))="Proyección")+--(INDEX(NORMATIVOS!$C$60:$Z$60,1,MATCH($B$3,NORMATIVOS!$C$1:$Z$1,0))="Proyección")+--(INDEX(NORMATIVOS!$C$61:$Z$61,1,MATCH($B$3,NORMATIVOS!$C$1:$Z$1,0))="Proyección")+--(INDEX(NORMATIVOS!$C$62:$Z$62,1,MATCH($B$3,NORMATIVOS!$C$1:$Z$1,0))="Proyección")+--(INDEX(NORMATIVOS!$C$63:$Z$63,1,MATCH($B$3,NORMATIVOS!$C$1:$Z$1,0))="Proyección")+--(INDEX(NORMATIVOS!$C$64:$Z$64,1,MATCH($B$3,NORMATIVOS!$C$1:$Z$1,0))="Proyección")</f>
        <v>2</v>
      </c>
      <c r="H10" s="15">
        <f t="shared" si="0"/>
        <v>0.8125</v>
      </c>
      <c r="I10" t="str">
        <f>IF(F10&gt;0,CATALOGOS!$H$4,IF(G10&gt;0,CATALOGOS!$H$5,CATALOGOS!$H$3))</f>
        <v>Mesociclo</v>
      </c>
    </row>
    <row r="11" spans="1:9" x14ac:dyDescent="0.2">
      <c r="A11" s="14" t="s">
        <v>283</v>
      </c>
      <c r="B11" s="15">
        <f>INDEX(CONSOLIDADO!$G$4:$G$5,MATCH($B$3,CONSOLIDADO!$A$4:$A$5,0))</f>
        <v>0.41825095057034223</v>
      </c>
      <c r="D11" t="s">
        <v>69</v>
      </c>
      <c r="E11">
        <f>--(INDEX(NORMATIVOS!$C$65:$Z$65,1,MATCH($B$3,NORMATIVOS!$C$1:$Z$1,0))="Consolidado")+--(INDEX(NORMATIVOS!$C$66:$Z$66,1,MATCH($B$3,NORMATIVOS!$C$1:$Z$1,0))="Consolidado")+--(INDEX(NORMATIVOS!$C$67:$Z$67,1,MATCH($B$3,NORMATIVOS!$C$1:$Z$1,0))="Consolidado")+--(INDEX(NORMATIVOS!$C$68:$Z$68,1,MATCH($B$3,NORMATIVOS!$C$1:$Z$1,0))="Consolidado")+--(INDEX(NORMATIVOS!$C$69:$Z$69,1,MATCH($B$3,NORMATIVOS!$C$1:$Z$1,0))="Consolidado")+--(INDEX(NORMATIVOS!$C$70:$Z$70,1,MATCH($B$3,NORMATIVOS!$C$1:$Z$1,0))="Consolidado")+--(INDEX(NORMATIVOS!$C$71:$Z$71,1,MATCH($B$3,NORMATIVOS!$C$1:$Z$1,0))="Consolidado")+--(INDEX(NORMATIVOS!$C$72:$Z$72,1,MATCH($B$3,NORMATIVOS!$C$1:$Z$1,0))="Consolidado")+--(INDEX(NORMATIVOS!$C$73:$Z$73,1,MATCH($B$3,NORMATIVOS!$C$1:$Z$1,0))="Consolidado")+--(INDEX(NORMATIVOS!$C$74:$Z$74,1,MATCH($B$3,NORMATIVOS!$C$1:$Z$1,0))="Consolidado")+--(INDEX(NORMATIVOS!$C$75:$Z$75,1,MATCH($B$3,NORMATIVOS!$C$1:$Z$1,0))="Consolidado")+--(INDEX(NORMATIVOS!$C$76:$Z$76,1,MATCH($B$3,NORMATIVOS!$C$1:$Z$1,0))="Consolidado")+--(INDEX(NORMATIVOS!$C$77:$Z$77,1,MATCH($B$3,NORMATIVOS!$C$1:$Z$1,0))="Consolidado")+--(INDEX(NORMATIVOS!$C$78:$Z$78,1,MATCH($B$3,NORMATIVOS!$C$1:$Z$1,0))="Consolidado")</f>
        <v>9</v>
      </c>
      <c r="F11">
        <f>--(INDEX(NORMATIVOS!$C$65:$Z$65,1,MATCH($B$3,NORMATIVOS!$C$1:$Z$1,0))="En proceso")+--(INDEX(NORMATIVOS!$C$66:$Z$66,1,MATCH($B$3,NORMATIVOS!$C$1:$Z$1,0))="En proceso")+--(INDEX(NORMATIVOS!$C$67:$Z$67,1,MATCH($B$3,NORMATIVOS!$C$1:$Z$1,0))="En proceso")+--(INDEX(NORMATIVOS!$C$68:$Z$68,1,MATCH($B$3,NORMATIVOS!$C$1:$Z$1,0))="En proceso")+--(INDEX(NORMATIVOS!$C$69:$Z$69,1,MATCH($B$3,NORMATIVOS!$C$1:$Z$1,0))="En proceso")+--(INDEX(NORMATIVOS!$C$70:$Z$70,1,MATCH($B$3,NORMATIVOS!$C$1:$Z$1,0))="En proceso")+--(INDEX(NORMATIVOS!$C$71:$Z$71,1,MATCH($B$3,NORMATIVOS!$C$1:$Z$1,0))="En proceso")+--(INDEX(NORMATIVOS!$C$72:$Z$72,1,MATCH($B$3,NORMATIVOS!$C$1:$Z$1,0))="En proceso")+--(INDEX(NORMATIVOS!$C$73:$Z$73,1,MATCH($B$3,NORMATIVOS!$C$1:$Z$1,0))="En proceso")+--(INDEX(NORMATIVOS!$C$74:$Z$74,1,MATCH($B$3,NORMATIVOS!$C$1:$Z$1,0))="En proceso")+--(INDEX(NORMATIVOS!$C$75:$Z$75,1,MATCH($B$3,NORMATIVOS!$C$1:$Z$1,0))="En proceso")+--(INDEX(NORMATIVOS!$C$76:$Z$76,1,MATCH($B$3,NORMATIVOS!$C$1:$Z$1,0))="En proceso")+--(INDEX(NORMATIVOS!$C$77:$Z$77,1,MATCH($B$3,NORMATIVOS!$C$1:$Z$1,0))="En proceso")+--(INDEX(NORMATIVOS!$C$78:$Z$78,1,MATCH($B$3,NORMATIVOS!$C$1:$Z$1,0))="En proceso")</f>
        <v>2</v>
      </c>
      <c r="G11">
        <f>--(INDEX(NORMATIVOS!$C$65:$Z$65,1,MATCH($B$3,NORMATIVOS!$C$1:$Z$1,0))="Proyección")+--(INDEX(NORMATIVOS!$C$66:$Z$66,1,MATCH($B$3,NORMATIVOS!$C$1:$Z$1,0))="Proyección")+--(INDEX(NORMATIVOS!$C$67:$Z$67,1,MATCH($B$3,NORMATIVOS!$C$1:$Z$1,0))="Proyección")+--(INDEX(NORMATIVOS!$C$68:$Z$68,1,MATCH($B$3,NORMATIVOS!$C$1:$Z$1,0))="Proyección")+--(INDEX(NORMATIVOS!$C$69:$Z$69,1,MATCH($B$3,NORMATIVOS!$C$1:$Z$1,0))="Proyección")+--(INDEX(NORMATIVOS!$C$70:$Z$70,1,MATCH($B$3,NORMATIVOS!$C$1:$Z$1,0))="Proyección")+--(INDEX(NORMATIVOS!$C$71:$Z$71,1,MATCH($B$3,NORMATIVOS!$C$1:$Z$1,0))="Proyección")+--(INDEX(NORMATIVOS!$C$72:$Z$72,1,MATCH($B$3,NORMATIVOS!$C$1:$Z$1,0))="Proyección")+--(INDEX(NORMATIVOS!$C$73:$Z$73,1,MATCH($B$3,NORMATIVOS!$C$1:$Z$1,0))="Proyección")+--(INDEX(NORMATIVOS!$C$74:$Z$74,1,MATCH($B$3,NORMATIVOS!$C$1:$Z$1,0))="Proyección")+--(INDEX(NORMATIVOS!$C$75:$Z$75,1,MATCH($B$3,NORMATIVOS!$C$1:$Z$1,0))="Proyección")+--(INDEX(NORMATIVOS!$C$76:$Z$76,1,MATCH($B$3,NORMATIVOS!$C$1:$Z$1,0))="Proyección")+--(INDEX(NORMATIVOS!$C$77:$Z$77,1,MATCH($B$3,NORMATIVOS!$C$1:$Z$1,0))="Proyección")+--(INDEX(NORMATIVOS!$C$78:$Z$78,1,MATCH($B$3,NORMATIVOS!$C$1:$Z$1,0))="Proyección")</f>
        <v>3</v>
      </c>
      <c r="H11" s="15">
        <f t="shared" si="0"/>
        <v>0.6428571428571429</v>
      </c>
      <c r="I11" t="str">
        <f>IF(F11&gt;0,CATALOGOS!$H$4,IF(G11&gt;0,CATALOGOS!$H$5,CATALOGOS!$H$3))</f>
        <v>Mesociclo</v>
      </c>
    </row>
    <row r="12" spans="1:9" x14ac:dyDescent="0.2">
      <c r="D12" t="s">
        <v>79</v>
      </c>
      <c r="E12">
        <f>--(INDEX(NORMATIVOS!$C$79:$Z$79,1,MATCH($B$3,NORMATIVOS!$C$1:$Z$1,0))="Consolidado")+--(INDEX(NORMATIVOS!$C$80:$Z$80,1,MATCH($B$3,NORMATIVOS!$C$1:$Z$1,0))="Consolidado")+--(INDEX(NORMATIVOS!$C$81:$Z$81,1,MATCH($B$3,NORMATIVOS!$C$1:$Z$1,0))="Consolidado")+--(INDEX(NORMATIVOS!$C$82:$Z$82,1,MATCH($B$3,NORMATIVOS!$C$1:$Z$1,0))="Consolidado")+--(INDEX(NORMATIVOS!$C$83:$Z$83,1,MATCH($B$3,NORMATIVOS!$C$1:$Z$1,0))="Consolidado")+--(INDEX(NORMATIVOS!$C$84:$Z$84,1,MATCH($B$3,NORMATIVOS!$C$1:$Z$1,0))="Consolidado")+--(INDEX(NORMATIVOS!$C$85:$Z$85,1,MATCH($B$3,NORMATIVOS!$C$1:$Z$1,0))="Consolidado")+--(INDEX(NORMATIVOS!$C$86:$Z$86,1,MATCH($B$3,NORMATIVOS!$C$1:$Z$1,0))="Consolidado")+--(INDEX(NORMATIVOS!$C$87:$Z$87,1,MATCH($B$3,NORMATIVOS!$C$1:$Z$1,0))="Consolidado")+--(INDEX(NORMATIVOS!$C$88:$Z$88,1,MATCH($B$3,NORMATIVOS!$C$1:$Z$1,0))="Consolidado")+--(INDEX(NORMATIVOS!$C$89:$Z$89,1,MATCH($B$3,NORMATIVOS!$C$1:$Z$1,0))="Consolidado")+--(INDEX(NORMATIVOS!$C$90:$Z$90,1,MATCH($B$3,NORMATIVOS!$C$1:$Z$1,0))="Consolidado")+--(INDEX(NORMATIVOS!$C$91:$Z$91,1,MATCH($B$3,NORMATIVOS!$C$1:$Z$1,0))="Consolidado")+--(INDEX(NORMATIVOS!$C$92:$Z$92,1,MATCH($B$3,NORMATIVOS!$C$1:$Z$1,0))="Consolidado")+--(INDEX(NORMATIVOS!$C$93:$Z$93,1,MATCH($B$3,NORMATIVOS!$C$1:$Z$1,0))="Consolidado")+--(INDEX(NORMATIVOS!$C$94:$Z$94,1,MATCH($B$3,NORMATIVOS!$C$1:$Z$1,0))="Consolidado")+--(INDEX(NORMATIVOS!$C$95:$Z$95,1,MATCH($B$3,NORMATIVOS!$C$1:$Z$1,0))="Consolidado")+--(INDEX(NORMATIVOS!$C$96:$Z$96,1,MATCH($B$3,NORMATIVOS!$C$1:$Z$1,0))="Consolidado")+--(INDEX(NORMATIVOS!$C$97:$Z$97,1,MATCH($B$3,NORMATIVOS!$C$1:$Z$1,0))="Consolidado")+--(INDEX(NORMATIVOS!$C$98:$Z$98,1,MATCH($B$3,NORMATIVOS!$C$1:$Z$1,0))="Consolidado")+--(INDEX(NORMATIVOS!$C$99:$Z$99,1,MATCH($B$3,NORMATIVOS!$C$1:$Z$1,0))="Consolidado")+--(INDEX(NORMATIVOS!$C$100:$Z$100,1,MATCH($B$3,NORMATIVOS!$C$1:$Z$1,0))="Consolidado")+--(INDEX(NORMATIVOS!$C$101:$Z$101,1,MATCH($B$3,NORMATIVOS!$C$1:$Z$1,0))="Consolidado")+--(INDEX(NORMATIVOS!$C$102:$Z$102,1,MATCH($B$3,NORMATIVOS!$C$1:$Z$1,0))="Consolidado")+--(INDEX(NORMATIVOS!$C$103:$Z$103,1,MATCH($B$3,NORMATIVOS!$C$1:$Z$1,0))="Consolidado")+--(INDEX(NORMATIVOS!$C$104:$Z$104,1,MATCH($B$3,NORMATIVOS!$C$1:$Z$1,0))="Consolidado")</f>
        <v>3</v>
      </c>
      <c r="F12">
        <f>--(INDEX(NORMATIVOS!$C$79:$Z$79,1,MATCH($B$3,NORMATIVOS!$C$1:$Z$1,0))="En proceso")+--(INDEX(NORMATIVOS!$C$80:$Z$80,1,MATCH($B$3,NORMATIVOS!$C$1:$Z$1,0))="En proceso")+--(INDEX(NORMATIVOS!$C$81:$Z$81,1,MATCH($B$3,NORMATIVOS!$C$1:$Z$1,0))="En proceso")+--(INDEX(NORMATIVOS!$C$82:$Z$82,1,MATCH($B$3,NORMATIVOS!$C$1:$Z$1,0))="En proceso")+--(INDEX(NORMATIVOS!$C$83:$Z$83,1,MATCH($B$3,NORMATIVOS!$C$1:$Z$1,0))="En proceso")+--(INDEX(NORMATIVOS!$C$84:$Z$84,1,MATCH($B$3,NORMATIVOS!$C$1:$Z$1,0))="En proceso")+--(INDEX(NORMATIVOS!$C$85:$Z$85,1,MATCH($B$3,NORMATIVOS!$C$1:$Z$1,0))="En proceso")+--(INDEX(NORMATIVOS!$C$86:$Z$86,1,MATCH($B$3,NORMATIVOS!$C$1:$Z$1,0))="En proceso")+--(INDEX(NORMATIVOS!$C$87:$Z$87,1,MATCH($B$3,NORMATIVOS!$C$1:$Z$1,0))="En proceso")+--(INDEX(NORMATIVOS!$C$88:$Z$88,1,MATCH($B$3,NORMATIVOS!$C$1:$Z$1,0))="En proceso")+--(INDEX(NORMATIVOS!$C$89:$Z$89,1,MATCH($B$3,NORMATIVOS!$C$1:$Z$1,0))="En proceso")+--(INDEX(NORMATIVOS!$C$90:$Z$90,1,MATCH($B$3,NORMATIVOS!$C$1:$Z$1,0))="En proceso")+--(INDEX(NORMATIVOS!$C$91:$Z$91,1,MATCH($B$3,NORMATIVOS!$C$1:$Z$1,0))="En proceso")+--(INDEX(NORMATIVOS!$C$92:$Z$92,1,MATCH($B$3,NORMATIVOS!$C$1:$Z$1,0))="En proceso")+--(INDEX(NORMATIVOS!$C$93:$Z$93,1,MATCH($B$3,NORMATIVOS!$C$1:$Z$1,0))="En proceso")+--(INDEX(NORMATIVOS!$C$94:$Z$94,1,MATCH($B$3,NORMATIVOS!$C$1:$Z$1,0))="En proceso")+--(INDEX(NORMATIVOS!$C$95:$Z$95,1,MATCH($B$3,NORMATIVOS!$C$1:$Z$1,0))="En proceso")+--(INDEX(NORMATIVOS!$C$96:$Z$96,1,MATCH($B$3,NORMATIVOS!$C$1:$Z$1,0))="En proceso")+--(INDEX(NORMATIVOS!$C$97:$Z$97,1,MATCH($B$3,NORMATIVOS!$C$1:$Z$1,0))="En proceso")+--(INDEX(NORMATIVOS!$C$98:$Z$98,1,MATCH($B$3,NORMATIVOS!$C$1:$Z$1,0))="En proceso")+--(INDEX(NORMATIVOS!$C$99:$Z$99,1,MATCH($B$3,NORMATIVOS!$C$1:$Z$1,0))="En proceso")+--(INDEX(NORMATIVOS!$C$100:$Z$100,1,MATCH($B$3,NORMATIVOS!$C$1:$Z$1,0))="En proceso")+--(INDEX(NORMATIVOS!$C$101:$Z$101,1,MATCH($B$3,NORMATIVOS!$C$1:$Z$1,0))="En proceso")+--(INDEX(NORMATIVOS!$C$102:$Z$102,1,MATCH($B$3,NORMATIVOS!$C$1:$Z$1,0))="En proceso")+--(INDEX(NORMATIVOS!$C$103:$Z$103,1,MATCH($B$3,NORMATIVOS!$C$1:$Z$1,0))="En proceso")+--(INDEX(NORMATIVOS!$C$104:$Z$104,1,MATCH($B$3,NORMATIVOS!$C$1:$Z$1,0))="En proceso")</f>
        <v>2</v>
      </c>
      <c r="G12">
        <f>--(INDEX(NORMATIVOS!$C$79:$Z$79,1,MATCH($B$3,NORMATIVOS!$C$1:$Z$1,0))="Proyección")+--(INDEX(NORMATIVOS!$C$80:$Z$80,1,MATCH($B$3,NORMATIVOS!$C$1:$Z$1,0))="Proyección")+--(INDEX(NORMATIVOS!$C$81:$Z$81,1,MATCH($B$3,NORMATIVOS!$C$1:$Z$1,0))="Proyección")+--(INDEX(NORMATIVOS!$C$82:$Z$82,1,MATCH($B$3,NORMATIVOS!$C$1:$Z$1,0))="Proyección")+--(INDEX(NORMATIVOS!$C$83:$Z$83,1,MATCH($B$3,NORMATIVOS!$C$1:$Z$1,0))="Proyección")+--(INDEX(NORMATIVOS!$C$84:$Z$84,1,MATCH($B$3,NORMATIVOS!$C$1:$Z$1,0))="Proyección")+--(INDEX(NORMATIVOS!$C$85:$Z$85,1,MATCH($B$3,NORMATIVOS!$C$1:$Z$1,0))="Proyección")+--(INDEX(NORMATIVOS!$C$86:$Z$86,1,MATCH($B$3,NORMATIVOS!$C$1:$Z$1,0))="Proyección")+--(INDEX(NORMATIVOS!$C$87:$Z$87,1,MATCH($B$3,NORMATIVOS!$C$1:$Z$1,0))="Proyección")+--(INDEX(NORMATIVOS!$C$88:$Z$88,1,MATCH($B$3,NORMATIVOS!$C$1:$Z$1,0))="Proyección")+--(INDEX(NORMATIVOS!$C$89:$Z$89,1,MATCH($B$3,NORMATIVOS!$C$1:$Z$1,0))="Proyección")+--(INDEX(NORMATIVOS!$C$90:$Z$90,1,MATCH($B$3,NORMATIVOS!$C$1:$Z$1,0))="Proyección")+--(INDEX(NORMATIVOS!$C$91:$Z$91,1,MATCH($B$3,NORMATIVOS!$C$1:$Z$1,0))="Proyección")+--(INDEX(NORMATIVOS!$C$92:$Z$92,1,MATCH($B$3,NORMATIVOS!$C$1:$Z$1,0))="Proyección")+--(INDEX(NORMATIVOS!$C$93:$Z$93,1,MATCH($B$3,NORMATIVOS!$C$1:$Z$1,0))="Proyección")+--(INDEX(NORMATIVOS!$C$94:$Z$94,1,MATCH($B$3,NORMATIVOS!$C$1:$Z$1,0))="Proyección")+--(INDEX(NORMATIVOS!$C$95:$Z$95,1,MATCH($B$3,NORMATIVOS!$C$1:$Z$1,0))="Proyección")+--(INDEX(NORMATIVOS!$C$96:$Z$96,1,MATCH($B$3,NORMATIVOS!$C$1:$Z$1,0))="Proyección")+--(INDEX(NORMATIVOS!$C$97:$Z$97,1,MATCH($B$3,NORMATIVOS!$C$1:$Z$1,0))="Proyección")+--(INDEX(NORMATIVOS!$C$98:$Z$98,1,MATCH($B$3,NORMATIVOS!$C$1:$Z$1,0))="Proyección")+--(INDEX(NORMATIVOS!$C$99:$Z$99,1,MATCH($B$3,NORMATIVOS!$C$1:$Z$1,0))="Proyección")+--(INDEX(NORMATIVOS!$C$100:$Z$100,1,MATCH($B$3,NORMATIVOS!$C$1:$Z$1,0))="Proyección")+--(INDEX(NORMATIVOS!$C$101:$Z$101,1,MATCH($B$3,NORMATIVOS!$C$1:$Z$1,0))="Proyección")+--(INDEX(NORMATIVOS!$C$102:$Z$102,1,MATCH($B$3,NORMATIVOS!$C$1:$Z$1,0))="Proyección")+--(INDEX(NORMATIVOS!$C$103:$Z$103,1,MATCH($B$3,NORMATIVOS!$C$1:$Z$1,0))="Proyección")+--(INDEX(NORMATIVOS!$C$104:$Z$104,1,MATCH($B$3,NORMATIVOS!$C$1:$Z$1,0))="Proyección")</f>
        <v>21</v>
      </c>
      <c r="H12" s="15">
        <f t="shared" si="0"/>
        <v>0.11538461538461539</v>
      </c>
      <c r="I12" t="str">
        <f>IF(F12&gt;0,CATALOGOS!$H$4,IF(G12&gt;0,CATALOGOS!$H$5,CATALOGOS!$H$3))</f>
        <v>Mesociclo</v>
      </c>
    </row>
    <row r="13" spans="1:9" x14ac:dyDescent="0.2">
      <c r="A13" s="11" t="s">
        <v>341</v>
      </c>
      <c r="B13" s="11" t="s">
        <v>342</v>
      </c>
      <c r="D13" t="s">
        <v>105</v>
      </c>
      <c r="E13">
        <f>--(INDEX(NORMATIVOS!$C$107:$Z$107,1,MATCH($B$3,NORMATIVOS!$C$1:$Z$1,0))="Consolidado")+--(INDEX(NORMATIVOS!$C$108:$Z$108,1,MATCH($B$3,NORMATIVOS!$C$1:$Z$1,0))="Consolidado")+--(INDEX(NORMATIVOS!$C$109:$Z$109,1,MATCH($B$3,NORMATIVOS!$C$1:$Z$1,0))="Consolidado")+--(INDEX(NORMATIVOS!$C$110:$Z$110,1,MATCH($B$3,NORMATIVOS!$C$1:$Z$1,0))="Consolidado")+--(INDEX(NORMATIVOS!$C$111:$Z$111,1,MATCH($B$3,NORMATIVOS!$C$1:$Z$1,0))="Consolidado")+--(INDEX(NORMATIVOS!$C$112:$Z$112,1,MATCH($B$3,NORMATIVOS!$C$1:$Z$1,0))="Consolidado")+--(INDEX(NORMATIVOS!$C$113:$Z$113,1,MATCH($B$3,NORMATIVOS!$C$1:$Z$1,0))="Consolidado")+--(INDEX(NORMATIVOS!$C$114:$Z$114,1,MATCH($B$3,NORMATIVOS!$C$1:$Z$1,0))="Consolidado")+--(INDEX(NORMATIVOS!$C$115:$Z$115,1,MATCH($B$3,NORMATIVOS!$C$1:$Z$1,0))="Consolidado")+--(INDEX(NORMATIVOS!$C$116:$Z$116,1,MATCH($B$3,NORMATIVOS!$C$1:$Z$1,0))="Consolidado")+--(INDEX(NORMATIVOS!$C$117:$Z$117,1,MATCH($B$3,NORMATIVOS!$C$1:$Z$1,0))="Consolidado")+--(INDEX(NORMATIVOS!$C$118:$Z$118,1,MATCH($B$3,NORMATIVOS!$C$1:$Z$1,0))="Consolidado")+--(INDEX(NORMATIVOS!$C$119:$Z$119,1,MATCH($B$3,NORMATIVOS!$C$1:$Z$1,0))="Consolidado")+--(INDEX(NORMATIVOS!$C$120:$Z$120,1,MATCH($B$3,NORMATIVOS!$C$1:$Z$1,0))="Consolidado")+--(INDEX(NORMATIVOS!$C$121:$Z$121,1,MATCH($B$3,NORMATIVOS!$C$1:$Z$1,0))="Consolidado")</f>
        <v>9</v>
      </c>
      <c r="F13">
        <f>--(INDEX(NORMATIVOS!$C$107:$Z$107,1,MATCH($B$3,NORMATIVOS!$C$1:$Z$1,0))="En proceso")+--(INDEX(NORMATIVOS!$C$108:$Z$108,1,MATCH($B$3,NORMATIVOS!$C$1:$Z$1,0))="En proceso")+--(INDEX(NORMATIVOS!$C$109:$Z$109,1,MATCH($B$3,NORMATIVOS!$C$1:$Z$1,0))="En proceso")+--(INDEX(NORMATIVOS!$C$110:$Z$110,1,MATCH($B$3,NORMATIVOS!$C$1:$Z$1,0))="En proceso")+--(INDEX(NORMATIVOS!$C$111:$Z$111,1,MATCH($B$3,NORMATIVOS!$C$1:$Z$1,0))="En proceso")+--(INDEX(NORMATIVOS!$C$112:$Z$112,1,MATCH($B$3,NORMATIVOS!$C$1:$Z$1,0))="En proceso")+--(INDEX(NORMATIVOS!$C$113:$Z$113,1,MATCH($B$3,NORMATIVOS!$C$1:$Z$1,0))="En proceso")+--(INDEX(NORMATIVOS!$C$114:$Z$114,1,MATCH($B$3,NORMATIVOS!$C$1:$Z$1,0))="En proceso")+--(INDEX(NORMATIVOS!$C$115:$Z$115,1,MATCH($B$3,NORMATIVOS!$C$1:$Z$1,0))="En proceso")+--(INDEX(NORMATIVOS!$C$116:$Z$116,1,MATCH($B$3,NORMATIVOS!$C$1:$Z$1,0))="En proceso")+--(INDEX(NORMATIVOS!$C$117:$Z$117,1,MATCH($B$3,NORMATIVOS!$C$1:$Z$1,0))="En proceso")+--(INDEX(NORMATIVOS!$C$118:$Z$118,1,MATCH($B$3,NORMATIVOS!$C$1:$Z$1,0))="En proceso")+--(INDEX(NORMATIVOS!$C$119:$Z$119,1,MATCH($B$3,NORMATIVOS!$C$1:$Z$1,0))="En proceso")+--(INDEX(NORMATIVOS!$C$120:$Z$120,1,MATCH($B$3,NORMATIVOS!$C$1:$Z$1,0))="En proceso")+--(INDEX(NORMATIVOS!$C$121:$Z$121,1,MATCH($B$3,NORMATIVOS!$C$1:$Z$1,0))="En proceso")</f>
        <v>3</v>
      </c>
      <c r="G13">
        <f>--(INDEX(NORMATIVOS!$C$107:$Z$107,1,MATCH($B$3,NORMATIVOS!$C$1:$Z$1,0))="Proyección")+--(INDEX(NORMATIVOS!$C$108:$Z$108,1,MATCH($B$3,NORMATIVOS!$C$1:$Z$1,0))="Proyección")+--(INDEX(NORMATIVOS!$C$109:$Z$109,1,MATCH($B$3,NORMATIVOS!$C$1:$Z$1,0))="Proyección")+--(INDEX(NORMATIVOS!$C$110:$Z$110,1,MATCH($B$3,NORMATIVOS!$C$1:$Z$1,0))="Proyección")+--(INDEX(NORMATIVOS!$C$111:$Z$111,1,MATCH($B$3,NORMATIVOS!$C$1:$Z$1,0))="Proyección")+--(INDEX(NORMATIVOS!$C$112:$Z$112,1,MATCH($B$3,NORMATIVOS!$C$1:$Z$1,0))="Proyección")+--(INDEX(NORMATIVOS!$C$113:$Z$113,1,MATCH($B$3,NORMATIVOS!$C$1:$Z$1,0))="Proyección")+--(INDEX(NORMATIVOS!$C$114:$Z$114,1,MATCH($B$3,NORMATIVOS!$C$1:$Z$1,0))="Proyección")+--(INDEX(NORMATIVOS!$C$115:$Z$115,1,MATCH($B$3,NORMATIVOS!$C$1:$Z$1,0))="Proyección")+--(INDEX(NORMATIVOS!$C$116:$Z$116,1,MATCH($B$3,NORMATIVOS!$C$1:$Z$1,0))="Proyección")+--(INDEX(NORMATIVOS!$C$117:$Z$117,1,MATCH($B$3,NORMATIVOS!$C$1:$Z$1,0))="Proyección")+--(INDEX(NORMATIVOS!$C$118:$Z$118,1,MATCH($B$3,NORMATIVOS!$C$1:$Z$1,0))="Proyección")+--(INDEX(NORMATIVOS!$C$119:$Z$119,1,MATCH($B$3,NORMATIVOS!$C$1:$Z$1,0))="Proyección")+--(INDEX(NORMATIVOS!$C$120:$Z$120,1,MATCH($B$3,NORMATIVOS!$C$1:$Z$1,0))="Proyección")+--(INDEX(NORMATIVOS!$C$121:$Z$121,1,MATCH($B$3,NORMATIVOS!$C$1:$Z$1,0))="Proyección")</f>
        <v>3</v>
      </c>
      <c r="H13" s="15">
        <f t="shared" si="0"/>
        <v>0.6</v>
      </c>
      <c r="I13" t="str">
        <f>IF(F13&gt;0,CATALOGOS!$H$4,IF(G13&gt;0,CATALOGOS!$H$5,CATALOGOS!$H$3))</f>
        <v>Mesociclo</v>
      </c>
    </row>
    <row r="14" spans="1:9" x14ac:dyDescent="0.2">
      <c r="A14" s="14" t="str">
        <f>CATALOGOS!H3&amp;" – "&amp;CATALOGOS!I3</f>
        <v>Microciclo – Mantener / perfeccionar</v>
      </c>
      <c r="B14">
        <f>COUNTIF($C$27:$C$290,CATALOGOS!G3)</f>
        <v>110</v>
      </c>
      <c r="D14" t="s">
        <v>120</v>
      </c>
      <c r="E14">
        <f>--(INDEX(NORMATIVOS!$C$122:$Z$122,1,MATCH($B$3,NORMATIVOS!$C$1:$Z$1,0))="Consolidado")+--(INDEX(NORMATIVOS!$C$123:$Z$123,1,MATCH($B$3,NORMATIVOS!$C$1:$Z$1,0))="Consolidado")+--(INDEX(NORMATIVOS!$C$124:$Z$124,1,MATCH($B$3,NORMATIVOS!$C$1:$Z$1,0))="Consolidado")+--(INDEX(NORMATIVOS!$C$125:$Z$125,1,MATCH($B$3,NORMATIVOS!$C$1:$Z$1,0))="Consolidado")+--(INDEX(NORMATIVOS!$C$126:$Z$126,1,MATCH($B$3,NORMATIVOS!$C$1:$Z$1,0))="Consolidado")+--(INDEX(NORMATIVOS!$C$127:$Z$127,1,MATCH($B$3,NORMATIVOS!$C$1:$Z$1,0))="Consolidado")+--(INDEX(NORMATIVOS!$C$128:$Z$128,1,MATCH($B$3,NORMATIVOS!$C$1:$Z$1,0))="Consolidado")+--(INDEX(NORMATIVOS!$C$129:$Z$129,1,MATCH($B$3,NORMATIVOS!$C$1:$Z$1,0))="Consolidado")+--(INDEX(NORMATIVOS!$C$130:$Z$130,1,MATCH($B$3,NORMATIVOS!$C$1:$Z$1,0))="Consolidado")+--(INDEX(NORMATIVOS!$C$131:$Z$131,1,MATCH($B$3,NORMATIVOS!$C$1:$Z$1,0))="Consolidado")+--(INDEX(NORMATIVOS!$C$132:$Z$132,1,MATCH($B$3,NORMATIVOS!$C$1:$Z$1,0))="Consolidado")+--(INDEX(NORMATIVOS!$C$133:$Z$133,1,MATCH($B$3,NORMATIVOS!$C$1:$Z$1,0))="Consolidado")+--(INDEX(NORMATIVOS!$C$134:$Z$134,1,MATCH($B$3,NORMATIVOS!$C$1:$Z$1,0))="Consolidado")+--(INDEX(NORMATIVOS!$C$135:$Z$135,1,MATCH($B$3,NORMATIVOS!$C$1:$Z$1,0))="Consolidado")+--(INDEX(NORMATIVOS!$C$136:$Z$136,1,MATCH($B$3,NORMATIVOS!$C$1:$Z$1,0))="Consolidado")+--(INDEX(NORMATIVOS!$C$137:$Z$137,1,MATCH($B$3,NORMATIVOS!$C$1:$Z$1,0))="Consolidado")+--(INDEX(NORMATIVOS!$C$138:$Z$138,1,MATCH($B$3,NORMATIVOS!$C$1:$Z$1,0))="Consolidado")+--(INDEX(NORMATIVOS!$C$139:$Z$139,1,MATCH($B$3,NORMATIVOS!$C$1:$Z$1,0))="Consolidado")+--(INDEX(NORMATIVOS!$C$140:$Z$140,1,MATCH($B$3,NORMATIVOS!$C$1:$Z$1,0))="Consolidado")+--(INDEX(NORMATIVOS!$C$141:$Z$141,1,MATCH($B$3,NORMATIVOS!$C$1:$Z$1,0))="Consolidado")</f>
        <v>5</v>
      </c>
      <c r="F14">
        <f>--(INDEX(NORMATIVOS!$C$122:$Z$122,1,MATCH($B$3,NORMATIVOS!$C$1:$Z$1,0))="En proceso")+--(INDEX(NORMATIVOS!$C$123:$Z$123,1,MATCH($B$3,NORMATIVOS!$C$1:$Z$1,0))="En proceso")+--(INDEX(NORMATIVOS!$C$124:$Z$124,1,MATCH($B$3,NORMATIVOS!$C$1:$Z$1,0))="En proceso")+--(INDEX(NORMATIVOS!$C$125:$Z$125,1,MATCH($B$3,NORMATIVOS!$C$1:$Z$1,0))="En proceso")+--(INDEX(NORMATIVOS!$C$126:$Z$126,1,MATCH($B$3,NORMATIVOS!$C$1:$Z$1,0))="En proceso")+--(INDEX(NORMATIVOS!$C$127:$Z$127,1,MATCH($B$3,NORMATIVOS!$C$1:$Z$1,0))="En proceso")+--(INDEX(NORMATIVOS!$C$128:$Z$128,1,MATCH($B$3,NORMATIVOS!$C$1:$Z$1,0))="En proceso")+--(INDEX(NORMATIVOS!$C$129:$Z$129,1,MATCH($B$3,NORMATIVOS!$C$1:$Z$1,0))="En proceso")+--(INDEX(NORMATIVOS!$C$130:$Z$130,1,MATCH($B$3,NORMATIVOS!$C$1:$Z$1,0))="En proceso")+--(INDEX(NORMATIVOS!$C$131:$Z$131,1,MATCH($B$3,NORMATIVOS!$C$1:$Z$1,0))="En proceso")+--(INDEX(NORMATIVOS!$C$132:$Z$132,1,MATCH($B$3,NORMATIVOS!$C$1:$Z$1,0))="En proceso")+--(INDEX(NORMATIVOS!$C$133:$Z$133,1,MATCH($B$3,NORMATIVOS!$C$1:$Z$1,0))="En proceso")+--(INDEX(NORMATIVOS!$C$134:$Z$134,1,MATCH($B$3,NORMATIVOS!$C$1:$Z$1,0))="En proceso")+--(INDEX(NORMATIVOS!$C$135:$Z$135,1,MATCH($B$3,NORMATIVOS!$C$1:$Z$1,0))="En proceso")+--(INDEX(NORMATIVOS!$C$136:$Z$136,1,MATCH($B$3,NORMATIVOS!$C$1:$Z$1,0))="En proceso")+--(INDEX(NORMATIVOS!$C$137:$Z$137,1,MATCH($B$3,NORMATIVOS!$C$1:$Z$1,0))="En proceso")+--(INDEX(NORMATIVOS!$C$138:$Z$138,1,MATCH($B$3,NORMATIVOS!$C$1:$Z$1,0))="En proceso")+--(INDEX(NORMATIVOS!$C$139:$Z$139,1,MATCH($B$3,NORMATIVOS!$C$1:$Z$1,0))="En proceso")+--(INDEX(NORMATIVOS!$C$140:$Z$140,1,MATCH($B$3,NORMATIVOS!$C$1:$Z$1,0))="En proceso")+--(INDEX(NORMATIVOS!$C$141:$Z$141,1,MATCH($B$3,NORMATIVOS!$C$1:$Z$1,0))="En proceso")</f>
        <v>8</v>
      </c>
      <c r="G14">
        <f>--(INDEX(NORMATIVOS!$C$122:$Z$122,1,MATCH($B$3,NORMATIVOS!$C$1:$Z$1,0))="Proyección")+--(INDEX(NORMATIVOS!$C$123:$Z$123,1,MATCH($B$3,NORMATIVOS!$C$1:$Z$1,0))="Proyección")+--(INDEX(NORMATIVOS!$C$124:$Z$124,1,MATCH($B$3,NORMATIVOS!$C$1:$Z$1,0))="Proyección")+--(INDEX(NORMATIVOS!$C$125:$Z$125,1,MATCH($B$3,NORMATIVOS!$C$1:$Z$1,0))="Proyección")+--(INDEX(NORMATIVOS!$C$126:$Z$126,1,MATCH($B$3,NORMATIVOS!$C$1:$Z$1,0))="Proyección")+--(INDEX(NORMATIVOS!$C$127:$Z$127,1,MATCH($B$3,NORMATIVOS!$C$1:$Z$1,0))="Proyección")+--(INDEX(NORMATIVOS!$C$128:$Z$128,1,MATCH($B$3,NORMATIVOS!$C$1:$Z$1,0))="Proyección")+--(INDEX(NORMATIVOS!$C$129:$Z$129,1,MATCH($B$3,NORMATIVOS!$C$1:$Z$1,0))="Proyección")+--(INDEX(NORMATIVOS!$C$130:$Z$130,1,MATCH($B$3,NORMATIVOS!$C$1:$Z$1,0))="Proyección")+--(INDEX(NORMATIVOS!$C$131:$Z$131,1,MATCH($B$3,NORMATIVOS!$C$1:$Z$1,0))="Proyección")+--(INDEX(NORMATIVOS!$C$132:$Z$132,1,MATCH($B$3,NORMATIVOS!$C$1:$Z$1,0))="Proyección")+--(INDEX(NORMATIVOS!$C$133:$Z$133,1,MATCH($B$3,NORMATIVOS!$C$1:$Z$1,0))="Proyección")+--(INDEX(NORMATIVOS!$C$134:$Z$134,1,MATCH($B$3,NORMATIVOS!$C$1:$Z$1,0))="Proyección")+--(INDEX(NORMATIVOS!$C$135:$Z$135,1,MATCH($B$3,NORMATIVOS!$C$1:$Z$1,0))="Proyección")+--(INDEX(NORMATIVOS!$C$136:$Z$136,1,MATCH($B$3,NORMATIVOS!$C$1:$Z$1,0))="Proyección")+--(INDEX(NORMATIVOS!$C$137:$Z$137,1,MATCH($B$3,NORMATIVOS!$C$1:$Z$1,0))="Proyección")+--(INDEX(NORMATIVOS!$C$138:$Z$138,1,MATCH($B$3,NORMATIVOS!$C$1:$Z$1,0))="Proyección")+--(INDEX(NORMATIVOS!$C$139:$Z$139,1,MATCH($B$3,NORMATIVOS!$C$1:$Z$1,0))="Proyección")+--(INDEX(NORMATIVOS!$C$140:$Z$140,1,MATCH($B$3,NORMATIVOS!$C$1:$Z$1,0))="Proyección")+--(INDEX(NORMATIVOS!$C$141:$Z$141,1,MATCH($B$3,NORMATIVOS!$C$1:$Z$1,0))="Proyección")</f>
        <v>7</v>
      </c>
      <c r="H14" s="15">
        <f t="shared" si="0"/>
        <v>0.25</v>
      </c>
      <c r="I14" t="str">
        <f>IF(F14&gt;0,CATALOGOS!$H$4,IF(G14&gt;0,CATALOGOS!$H$5,CATALOGOS!$H$3))</f>
        <v>Mesociclo</v>
      </c>
    </row>
    <row r="15" spans="1:9" x14ac:dyDescent="0.2">
      <c r="A15" s="14" t="str">
        <f>CATALOGOS!H4&amp;" – "&amp;CATALOGOS!I4</f>
        <v>Mesociclo – Desarrollar / consolidar</v>
      </c>
      <c r="B15">
        <f>COUNTIF($C$27:$C$290,CATALOGOS!G4)</f>
        <v>53</v>
      </c>
      <c r="D15" t="s">
        <v>142</v>
      </c>
      <c r="E15">
        <f>--(INDEX(NORMATIVOS!$C$144:$Z$144,1,MATCH($B$3,NORMATIVOS!$C$1:$Z$1,0))="Consolidado")+--(INDEX(NORMATIVOS!$C$145:$Z$145,1,MATCH($B$3,NORMATIVOS!$C$1:$Z$1,0))="Consolidado")+--(INDEX(NORMATIVOS!$C$146:$Z$146,1,MATCH($B$3,NORMATIVOS!$C$1:$Z$1,0))="Consolidado")+--(INDEX(NORMATIVOS!$C$147:$Z$147,1,MATCH($B$3,NORMATIVOS!$C$1:$Z$1,0))="Consolidado")+--(INDEX(NORMATIVOS!$C$148:$Z$148,1,MATCH($B$3,NORMATIVOS!$C$1:$Z$1,0))="Consolidado")+--(INDEX(NORMATIVOS!$C$149:$Z$149,1,MATCH($B$3,NORMATIVOS!$C$1:$Z$1,0))="Consolidado")+--(INDEX(NORMATIVOS!$C$150:$Z$150,1,MATCH($B$3,NORMATIVOS!$C$1:$Z$1,0))="Consolidado")</f>
        <v>7</v>
      </c>
      <c r="F15">
        <f>--(INDEX(NORMATIVOS!$C$144:$Z$144,1,MATCH($B$3,NORMATIVOS!$C$1:$Z$1,0))="En proceso")+--(INDEX(NORMATIVOS!$C$145:$Z$145,1,MATCH($B$3,NORMATIVOS!$C$1:$Z$1,0))="En proceso")+--(INDEX(NORMATIVOS!$C$146:$Z$146,1,MATCH($B$3,NORMATIVOS!$C$1:$Z$1,0))="En proceso")+--(INDEX(NORMATIVOS!$C$147:$Z$147,1,MATCH($B$3,NORMATIVOS!$C$1:$Z$1,0))="En proceso")+--(INDEX(NORMATIVOS!$C$148:$Z$148,1,MATCH($B$3,NORMATIVOS!$C$1:$Z$1,0))="En proceso")+--(INDEX(NORMATIVOS!$C$149:$Z$149,1,MATCH($B$3,NORMATIVOS!$C$1:$Z$1,0))="En proceso")+--(INDEX(NORMATIVOS!$C$150:$Z$150,1,MATCH($B$3,NORMATIVOS!$C$1:$Z$1,0))="En proceso")</f>
        <v>0</v>
      </c>
      <c r="G15">
        <f>--(INDEX(NORMATIVOS!$C$144:$Z$144,1,MATCH($B$3,NORMATIVOS!$C$1:$Z$1,0))="Proyección")+--(INDEX(NORMATIVOS!$C$145:$Z$145,1,MATCH($B$3,NORMATIVOS!$C$1:$Z$1,0))="Proyección")+--(INDEX(NORMATIVOS!$C$146:$Z$146,1,MATCH($B$3,NORMATIVOS!$C$1:$Z$1,0))="Proyección")+--(INDEX(NORMATIVOS!$C$147:$Z$147,1,MATCH($B$3,NORMATIVOS!$C$1:$Z$1,0))="Proyección")+--(INDEX(NORMATIVOS!$C$148:$Z$148,1,MATCH($B$3,NORMATIVOS!$C$1:$Z$1,0))="Proyección")+--(INDEX(NORMATIVOS!$C$149:$Z$149,1,MATCH($B$3,NORMATIVOS!$C$1:$Z$1,0))="Proyección")+--(INDEX(NORMATIVOS!$C$150:$Z$150,1,MATCH($B$3,NORMATIVOS!$C$1:$Z$1,0))="Proyección")</f>
        <v>0</v>
      </c>
      <c r="H15" s="15">
        <f t="shared" si="0"/>
        <v>1</v>
      </c>
      <c r="I15" t="str">
        <f>IF(F15&gt;0,CATALOGOS!$H$4,IF(G15&gt;0,CATALOGOS!$H$5,CATALOGOS!$H$3))</f>
        <v>Microciclo</v>
      </c>
    </row>
    <row r="16" spans="1:9" x14ac:dyDescent="0.2">
      <c r="A16" s="14" t="str">
        <f>CATALOGOS!H5&amp;" – "&amp;CATALOGOS!I5</f>
        <v>Macrociclo – Iniciar / aprender</v>
      </c>
      <c r="B16">
        <f>COUNTIF($C$27:$C$290,CATALOGOS!G5)</f>
        <v>100</v>
      </c>
      <c r="D16" t="s">
        <v>150</v>
      </c>
      <c r="E16">
        <f>--(INDEX(NORMATIVOS!$C$151:$Z$151,1,MATCH($B$3,NORMATIVOS!$C$1:$Z$1,0))="Consolidado")+--(INDEX(NORMATIVOS!$C$152:$Z$152,1,MATCH($B$3,NORMATIVOS!$C$1:$Z$1,0))="Consolidado")+--(INDEX(NORMATIVOS!$C$153:$Z$153,1,MATCH($B$3,NORMATIVOS!$C$1:$Z$1,0))="Consolidado")+--(INDEX(NORMATIVOS!$C$154:$Z$154,1,MATCH($B$3,NORMATIVOS!$C$1:$Z$1,0))="Consolidado")+--(INDEX(NORMATIVOS!$C$155:$Z$155,1,MATCH($B$3,NORMATIVOS!$C$1:$Z$1,0))="Consolidado")+--(INDEX(NORMATIVOS!$C$156:$Z$156,1,MATCH($B$3,NORMATIVOS!$C$1:$Z$1,0))="Consolidado")+--(INDEX(NORMATIVOS!$C$157:$Z$157,1,MATCH($B$3,NORMATIVOS!$C$1:$Z$1,0))="Consolidado")+--(INDEX(NORMATIVOS!$C$158:$Z$158,1,MATCH($B$3,NORMATIVOS!$C$1:$Z$1,0))="Consolidado")+--(INDEX(NORMATIVOS!$C$159:$Z$159,1,MATCH($B$3,NORMATIVOS!$C$1:$Z$1,0))="Consolidado")+--(INDEX(NORMATIVOS!$C$160:$Z$160,1,MATCH($B$3,NORMATIVOS!$C$1:$Z$1,0))="Consolidado")+--(INDEX(NORMATIVOS!$C$161:$Z$161,1,MATCH($B$3,NORMATIVOS!$C$1:$Z$1,0))="Consolidado")+--(INDEX(NORMATIVOS!$C$162:$Z$162,1,MATCH($B$3,NORMATIVOS!$C$1:$Z$1,0))="Consolidado")+--(INDEX(NORMATIVOS!$C$163:$Z$163,1,MATCH($B$3,NORMATIVOS!$C$1:$Z$1,0))="Consolidado")+--(INDEX(NORMATIVOS!$C$164:$Z$164,1,MATCH($B$3,NORMATIVOS!$C$1:$Z$1,0))="Consolidado")+--(INDEX(NORMATIVOS!$C$165:$Z$165,1,MATCH($B$3,NORMATIVOS!$C$1:$Z$1,0))="Consolidado")+--(INDEX(NORMATIVOS!$C$166:$Z$166,1,MATCH($B$3,NORMATIVOS!$C$1:$Z$1,0))="Consolidado")+--(INDEX(NORMATIVOS!$C$167:$Z$167,1,MATCH($B$3,NORMATIVOS!$C$1:$Z$1,0))="Consolidado")+--(INDEX(NORMATIVOS!$C$168:$Z$168,1,MATCH($B$3,NORMATIVOS!$C$1:$Z$1,0))="Consolidado")+--(INDEX(NORMATIVOS!$C$169:$Z$169,1,MATCH($B$3,NORMATIVOS!$C$1:$Z$1,0))="Consolidado")+--(INDEX(NORMATIVOS!$C$170:$Z$170,1,MATCH($B$3,NORMATIVOS!$C$1:$Z$1,0))="Consolidado")+--(INDEX(NORMATIVOS!$C$171:$Z$171,1,MATCH($B$3,NORMATIVOS!$C$1:$Z$1,0))="Consolidado")+--(INDEX(NORMATIVOS!$C$172:$Z$172,1,MATCH($B$3,NORMATIVOS!$C$1:$Z$1,0))="Consolidado")</f>
        <v>4</v>
      </c>
      <c r="F16">
        <f>--(INDEX(NORMATIVOS!$C$151:$Z$151,1,MATCH($B$3,NORMATIVOS!$C$1:$Z$1,0))="En proceso")+--(INDEX(NORMATIVOS!$C$152:$Z$152,1,MATCH($B$3,NORMATIVOS!$C$1:$Z$1,0))="En proceso")+--(INDEX(NORMATIVOS!$C$153:$Z$153,1,MATCH($B$3,NORMATIVOS!$C$1:$Z$1,0))="En proceso")+--(INDEX(NORMATIVOS!$C$154:$Z$154,1,MATCH($B$3,NORMATIVOS!$C$1:$Z$1,0))="En proceso")+--(INDEX(NORMATIVOS!$C$155:$Z$155,1,MATCH($B$3,NORMATIVOS!$C$1:$Z$1,0))="En proceso")+--(INDEX(NORMATIVOS!$C$156:$Z$156,1,MATCH($B$3,NORMATIVOS!$C$1:$Z$1,0))="En proceso")+--(INDEX(NORMATIVOS!$C$157:$Z$157,1,MATCH($B$3,NORMATIVOS!$C$1:$Z$1,0))="En proceso")+--(INDEX(NORMATIVOS!$C$158:$Z$158,1,MATCH($B$3,NORMATIVOS!$C$1:$Z$1,0))="En proceso")+--(INDEX(NORMATIVOS!$C$159:$Z$159,1,MATCH($B$3,NORMATIVOS!$C$1:$Z$1,0))="En proceso")+--(INDEX(NORMATIVOS!$C$160:$Z$160,1,MATCH($B$3,NORMATIVOS!$C$1:$Z$1,0))="En proceso")+--(INDEX(NORMATIVOS!$C$161:$Z$161,1,MATCH($B$3,NORMATIVOS!$C$1:$Z$1,0))="En proceso")+--(INDEX(NORMATIVOS!$C$162:$Z$162,1,MATCH($B$3,NORMATIVOS!$C$1:$Z$1,0))="En proceso")+--(INDEX(NORMATIVOS!$C$163:$Z$163,1,MATCH($B$3,NORMATIVOS!$C$1:$Z$1,0))="En proceso")+--(INDEX(NORMATIVOS!$C$164:$Z$164,1,MATCH($B$3,NORMATIVOS!$C$1:$Z$1,0))="En proceso")+--(INDEX(NORMATIVOS!$C$165:$Z$165,1,MATCH($B$3,NORMATIVOS!$C$1:$Z$1,0))="En proceso")+--(INDEX(NORMATIVOS!$C$166:$Z$166,1,MATCH($B$3,NORMATIVOS!$C$1:$Z$1,0))="En proceso")+--(INDEX(NORMATIVOS!$C$167:$Z$167,1,MATCH($B$3,NORMATIVOS!$C$1:$Z$1,0))="En proceso")+--(INDEX(NORMATIVOS!$C$168:$Z$168,1,MATCH($B$3,NORMATIVOS!$C$1:$Z$1,0))="En proceso")+--(INDEX(NORMATIVOS!$C$169:$Z$169,1,MATCH($B$3,NORMATIVOS!$C$1:$Z$1,0))="En proceso")+--(INDEX(NORMATIVOS!$C$170:$Z$170,1,MATCH($B$3,NORMATIVOS!$C$1:$Z$1,0))="En proceso")+--(INDEX(NORMATIVOS!$C$171:$Z$171,1,MATCH($B$3,NORMATIVOS!$C$1:$Z$1,0))="En proceso")+--(INDEX(NORMATIVOS!$C$172:$Z$172,1,MATCH($B$3,NORMATIVOS!$C$1:$Z$1,0))="En proceso")</f>
        <v>3</v>
      </c>
      <c r="G16">
        <f>--(INDEX(NORMATIVOS!$C$151:$Z$151,1,MATCH($B$3,NORMATIVOS!$C$1:$Z$1,0))="Proyección")+--(INDEX(NORMATIVOS!$C$152:$Z$152,1,MATCH($B$3,NORMATIVOS!$C$1:$Z$1,0))="Proyección")+--(INDEX(NORMATIVOS!$C$153:$Z$153,1,MATCH($B$3,NORMATIVOS!$C$1:$Z$1,0))="Proyección")+--(INDEX(NORMATIVOS!$C$154:$Z$154,1,MATCH($B$3,NORMATIVOS!$C$1:$Z$1,0))="Proyección")+--(INDEX(NORMATIVOS!$C$155:$Z$155,1,MATCH($B$3,NORMATIVOS!$C$1:$Z$1,0))="Proyección")+--(INDEX(NORMATIVOS!$C$156:$Z$156,1,MATCH($B$3,NORMATIVOS!$C$1:$Z$1,0))="Proyección")+--(INDEX(NORMATIVOS!$C$157:$Z$157,1,MATCH($B$3,NORMATIVOS!$C$1:$Z$1,0))="Proyección")+--(INDEX(NORMATIVOS!$C$158:$Z$158,1,MATCH($B$3,NORMATIVOS!$C$1:$Z$1,0))="Proyección")+--(INDEX(NORMATIVOS!$C$159:$Z$159,1,MATCH($B$3,NORMATIVOS!$C$1:$Z$1,0))="Proyección")+--(INDEX(NORMATIVOS!$C$160:$Z$160,1,MATCH($B$3,NORMATIVOS!$C$1:$Z$1,0))="Proyección")+--(INDEX(NORMATIVOS!$C$161:$Z$161,1,MATCH($B$3,NORMATIVOS!$C$1:$Z$1,0))="Proyección")+--(INDEX(NORMATIVOS!$C$162:$Z$162,1,MATCH($B$3,NORMATIVOS!$C$1:$Z$1,0))="Proyección")+--(INDEX(NORMATIVOS!$C$163:$Z$163,1,MATCH($B$3,NORMATIVOS!$C$1:$Z$1,0))="Proyección")+--(INDEX(NORMATIVOS!$C$164:$Z$164,1,MATCH($B$3,NORMATIVOS!$C$1:$Z$1,0))="Proyección")+--(INDEX(NORMATIVOS!$C$165:$Z$165,1,MATCH($B$3,NORMATIVOS!$C$1:$Z$1,0))="Proyección")+--(INDEX(NORMATIVOS!$C$166:$Z$166,1,MATCH($B$3,NORMATIVOS!$C$1:$Z$1,0))="Proyección")+--(INDEX(NORMATIVOS!$C$167:$Z$167,1,MATCH($B$3,NORMATIVOS!$C$1:$Z$1,0))="Proyección")+--(INDEX(NORMATIVOS!$C$168:$Z$168,1,MATCH($B$3,NORMATIVOS!$C$1:$Z$1,0))="Proyección")+--(INDEX(NORMATIVOS!$C$169:$Z$169,1,MATCH($B$3,NORMATIVOS!$C$1:$Z$1,0))="Proyección")+--(INDEX(NORMATIVOS!$C$170:$Z$170,1,MATCH($B$3,NORMATIVOS!$C$1:$Z$1,0))="Proyección")+--(INDEX(NORMATIVOS!$C$171:$Z$171,1,MATCH($B$3,NORMATIVOS!$C$1:$Z$1,0))="Proyección")+--(INDEX(NORMATIVOS!$C$172:$Z$172,1,MATCH($B$3,NORMATIVOS!$C$1:$Z$1,0))="Proyección")</f>
        <v>15</v>
      </c>
      <c r="H16" s="15">
        <f t="shared" si="0"/>
        <v>0.18181818181818182</v>
      </c>
      <c r="I16" t="str">
        <f>IF(F16&gt;0,CATALOGOS!$H$4,IF(G16&gt;0,CATALOGOS!$H$5,CATALOGOS!$H$3))</f>
        <v>Mesociclo</v>
      </c>
    </row>
    <row r="17" spans="1:9" x14ac:dyDescent="0.2">
      <c r="A17" s="14" t="str">
        <f>CATALOGOS!H6&amp;" – "&amp;CATALOGOS!I6</f>
        <v>No aplica – Sin carga</v>
      </c>
      <c r="B17">
        <f>COUNTIF($C$27:$C$290,CATALOGOS!G6)</f>
        <v>1</v>
      </c>
      <c r="D17" t="s">
        <v>278</v>
      </c>
      <c r="E17">
        <f>--(INDEX(NORMATIVOS!$C$175:$Z$175,1,MATCH($B$3,NORMATIVOS!$C$1:$Z$1,0))="Consolidado")+--(INDEX(NORMATIVOS!$C$176:$Z$176,1,MATCH($B$3,NORMATIVOS!$C$1:$Z$1,0))="Consolidado")+--(INDEX(NORMATIVOS!$C$177:$Z$177,1,MATCH($B$3,NORMATIVOS!$C$1:$Z$1,0))="Consolidado")+--(INDEX(NORMATIVOS!$C$178:$Z$178,1,MATCH($B$3,NORMATIVOS!$C$1:$Z$1,0))="Consolidado")+--(INDEX(NORMATIVOS!$C$179:$Z$179,1,MATCH($B$3,NORMATIVOS!$C$1:$Z$1,0))="Consolidado")+--(INDEX(NORMATIVOS!$C$180:$Z$180,1,MATCH($B$3,NORMATIVOS!$C$1:$Z$1,0))="Consolidado")+--(INDEX(NORMATIVOS!$C$181:$Z$181,1,MATCH($B$3,NORMATIVOS!$C$1:$Z$1,0))="Consolidado")+--(INDEX(NORMATIVOS!$C$182:$Z$182,1,MATCH($B$3,NORMATIVOS!$C$1:$Z$1,0))="Consolidado")+--(INDEX(NORMATIVOS!$C$183:$Z$183,1,MATCH($B$3,NORMATIVOS!$C$1:$Z$1,0))="Consolidado")+--(INDEX(NORMATIVOS!$C$184:$Z$184,1,MATCH($B$3,NORMATIVOS!$C$1:$Z$1,0))="Consolidado")+--(INDEX(NORMATIVOS!$C$185:$Z$185,1,MATCH($B$3,NORMATIVOS!$C$1:$Z$1,0))="Consolidado")+--(INDEX(NORMATIVOS!$C$186:$Z$186,1,MATCH($B$3,NORMATIVOS!$C$1:$Z$1,0))="Consolidado")+--(INDEX(NORMATIVOS!$C$187:$Z$187,1,MATCH($B$3,NORMATIVOS!$C$1:$Z$1,0))="Consolidado")+--(INDEX(NORMATIVOS!$C$188:$Z$188,1,MATCH($B$3,NORMATIVOS!$C$1:$Z$1,0))="Consolidado")+--(INDEX(NORMATIVOS!$C$189:$Z$189,1,MATCH($B$3,NORMATIVOS!$C$1:$Z$1,0))="Consolidado")+--(INDEX(NORMATIVOS!$C$190:$Z$190,1,MATCH($B$3,NORMATIVOS!$C$1:$Z$1,0))="Consolidado")+--(INDEX(NORMATIVOS!$C$191:$Z$191,1,MATCH($B$3,NORMATIVOS!$C$1:$Z$1,0))="Consolidado")+--(INDEX(NORMATIVOS!$C$192:$Z$192,1,MATCH($B$3,NORMATIVOS!$C$1:$Z$1,0))="Consolidado")</f>
        <v>9</v>
      </c>
      <c r="F17">
        <f>--(INDEX(NORMATIVOS!$C$175:$Z$175,1,MATCH($B$3,NORMATIVOS!$C$1:$Z$1,0))="En proceso")+--(INDEX(NORMATIVOS!$C$176:$Z$176,1,MATCH($B$3,NORMATIVOS!$C$1:$Z$1,0))="En proceso")+--(INDEX(NORMATIVOS!$C$177:$Z$177,1,MATCH($B$3,NORMATIVOS!$C$1:$Z$1,0))="En proceso")+--(INDEX(NORMATIVOS!$C$178:$Z$178,1,MATCH($B$3,NORMATIVOS!$C$1:$Z$1,0))="En proceso")+--(INDEX(NORMATIVOS!$C$179:$Z$179,1,MATCH($B$3,NORMATIVOS!$C$1:$Z$1,0))="En proceso")+--(INDEX(NORMATIVOS!$C$180:$Z$180,1,MATCH($B$3,NORMATIVOS!$C$1:$Z$1,0))="En proceso")+--(INDEX(NORMATIVOS!$C$181:$Z$181,1,MATCH($B$3,NORMATIVOS!$C$1:$Z$1,0))="En proceso")+--(INDEX(NORMATIVOS!$C$182:$Z$182,1,MATCH($B$3,NORMATIVOS!$C$1:$Z$1,0))="En proceso")+--(INDEX(NORMATIVOS!$C$183:$Z$183,1,MATCH($B$3,NORMATIVOS!$C$1:$Z$1,0))="En proceso")+--(INDEX(NORMATIVOS!$C$184:$Z$184,1,MATCH($B$3,NORMATIVOS!$C$1:$Z$1,0))="En proceso")+--(INDEX(NORMATIVOS!$C$185:$Z$185,1,MATCH($B$3,NORMATIVOS!$C$1:$Z$1,0))="En proceso")+--(INDEX(NORMATIVOS!$C$186:$Z$186,1,MATCH($B$3,NORMATIVOS!$C$1:$Z$1,0))="En proceso")+--(INDEX(NORMATIVOS!$C$187:$Z$187,1,MATCH($B$3,NORMATIVOS!$C$1:$Z$1,0))="En proceso")+--(INDEX(NORMATIVOS!$C$188:$Z$188,1,MATCH($B$3,NORMATIVOS!$C$1:$Z$1,0))="En proceso")+--(INDEX(NORMATIVOS!$C$189:$Z$189,1,MATCH($B$3,NORMATIVOS!$C$1:$Z$1,0))="En proceso")+--(INDEX(NORMATIVOS!$C$190:$Z$190,1,MATCH($B$3,NORMATIVOS!$C$1:$Z$1,0))="En proceso")+--(INDEX(NORMATIVOS!$C$191:$Z$191,1,MATCH($B$3,NORMATIVOS!$C$1:$Z$1,0))="En proceso")+--(INDEX(NORMATIVOS!$C$192:$Z$192,1,MATCH($B$3,NORMATIVOS!$C$1:$Z$1,0))="En proceso")</f>
        <v>0</v>
      </c>
      <c r="G17">
        <f>--(INDEX(NORMATIVOS!$C$175:$Z$175,1,MATCH($B$3,NORMATIVOS!$C$1:$Z$1,0))="Proyección")+--(INDEX(NORMATIVOS!$C$176:$Z$176,1,MATCH($B$3,NORMATIVOS!$C$1:$Z$1,0))="Proyección")+--(INDEX(NORMATIVOS!$C$177:$Z$177,1,MATCH($B$3,NORMATIVOS!$C$1:$Z$1,0))="Proyección")+--(INDEX(NORMATIVOS!$C$178:$Z$178,1,MATCH($B$3,NORMATIVOS!$C$1:$Z$1,0))="Proyección")+--(INDEX(NORMATIVOS!$C$179:$Z$179,1,MATCH($B$3,NORMATIVOS!$C$1:$Z$1,0))="Proyección")+--(INDEX(NORMATIVOS!$C$180:$Z$180,1,MATCH($B$3,NORMATIVOS!$C$1:$Z$1,0))="Proyección")+--(INDEX(NORMATIVOS!$C$181:$Z$181,1,MATCH($B$3,NORMATIVOS!$C$1:$Z$1,0))="Proyección")+--(INDEX(NORMATIVOS!$C$182:$Z$182,1,MATCH($B$3,NORMATIVOS!$C$1:$Z$1,0))="Proyección")+--(INDEX(NORMATIVOS!$C$183:$Z$183,1,MATCH($B$3,NORMATIVOS!$C$1:$Z$1,0))="Proyección")+--(INDEX(NORMATIVOS!$C$184:$Z$184,1,MATCH($B$3,NORMATIVOS!$C$1:$Z$1,0))="Proyección")+--(INDEX(NORMATIVOS!$C$185:$Z$185,1,MATCH($B$3,NORMATIVOS!$C$1:$Z$1,0))="Proyección")+--(INDEX(NORMATIVOS!$C$186:$Z$186,1,MATCH($B$3,NORMATIVOS!$C$1:$Z$1,0))="Proyección")+--(INDEX(NORMATIVOS!$C$187:$Z$187,1,MATCH($B$3,NORMATIVOS!$C$1:$Z$1,0))="Proyección")+--(INDEX(NORMATIVOS!$C$188:$Z$188,1,MATCH($B$3,NORMATIVOS!$C$1:$Z$1,0))="Proyección")+--(INDEX(NORMATIVOS!$C$189:$Z$189,1,MATCH($B$3,NORMATIVOS!$C$1:$Z$1,0))="Proyección")+--(INDEX(NORMATIVOS!$C$190:$Z$190,1,MATCH($B$3,NORMATIVOS!$C$1:$Z$1,0))="Proyección")+--(INDEX(NORMATIVOS!$C$191:$Z$191,1,MATCH($B$3,NORMATIVOS!$C$1:$Z$1,0))="Proyección")+--(INDEX(NORMATIVOS!$C$192:$Z$192,1,MATCH($B$3,NORMATIVOS!$C$1:$Z$1,0))="Proyección")</f>
        <v>9</v>
      </c>
      <c r="H17" s="15">
        <f t="shared" si="0"/>
        <v>0.5</v>
      </c>
      <c r="I17" t="str">
        <f>IF(F17&gt;0,CATALOGOS!$H$4,IF(G17&gt;0,CATALOGOS!$H$5,CATALOGOS!$H$3))</f>
        <v>Macrociclo</v>
      </c>
    </row>
    <row r="18" spans="1:9" x14ac:dyDescent="0.2">
      <c r="D18" t="s">
        <v>190</v>
      </c>
      <c r="E18">
        <f>--(INDEX(NORMATIVOS!$C$193:$Z$193,1,MATCH($B$3,NORMATIVOS!$C$1:$Z$1,0))="Consolidado")+--(INDEX(NORMATIVOS!$C$194:$Z$194,1,MATCH($B$3,NORMATIVOS!$C$1:$Z$1,0))="Consolidado")+--(INDEX(NORMATIVOS!$C$195:$Z$195,1,MATCH($B$3,NORMATIVOS!$C$1:$Z$1,0))="Consolidado")+--(INDEX(NORMATIVOS!$C$196:$Z$196,1,MATCH($B$3,NORMATIVOS!$C$1:$Z$1,0))="Consolidado")+--(INDEX(NORMATIVOS!$C$197:$Z$197,1,MATCH($B$3,NORMATIVOS!$C$1:$Z$1,0))="Consolidado")+--(INDEX(NORMATIVOS!$C$198:$Z$198,1,MATCH($B$3,NORMATIVOS!$C$1:$Z$1,0))="Consolidado")+--(INDEX(NORMATIVOS!$C$199:$Z$199,1,MATCH($B$3,NORMATIVOS!$C$1:$Z$1,0))="Consolidado")+--(INDEX(NORMATIVOS!$C$200:$Z$200,1,MATCH($B$3,NORMATIVOS!$C$1:$Z$1,0))="Consolidado")+--(INDEX(NORMATIVOS!$C$201:$Z$201,1,MATCH($B$3,NORMATIVOS!$C$1:$Z$1,0))="Consolidado")+--(INDEX(NORMATIVOS!$C$202:$Z$202,1,MATCH($B$3,NORMATIVOS!$C$1:$Z$1,0))="Consolidado")+--(INDEX(NORMATIVOS!$C$203:$Z$203,1,MATCH($B$3,NORMATIVOS!$C$1:$Z$1,0))="Consolidado")+--(INDEX(NORMATIVOS!$C$204:$Z$204,1,MATCH($B$3,NORMATIVOS!$C$1:$Z$1,0))="Consolidado")+--(INDEX(NORMATIVOS!$C$205:$Z$205,1,MATCH($B$3,NORMATIVOS!$C$1:$Z$1,0))="Consolidado")+--(INDEX(NORMATIVOS!$C$206:$Z$206,1,MATCH($B$3,NORMATIVOS!$C$1:$Z$1,0))="Consolidado")+--(INDEX(NORMATIVOS!$C$207:$Z$207,1,MATCH($B$3,NORMATIVOS!$C$1:$Z$1,0))="Consolidado")+--(INDEX(NORMATIVOS!$C$208:$Z$208,1,MATCH($B$3,NORMATIVOS!$C$1:$Z$1,0))="Consolidado")+--(INDEX(NORMATIVOS!$C$209:$Z$209,1,MATCH($B$3,NORMATIVOS!$C$1:$Z$1,0))="Consolidado")+--(INDEX(NORMATIVOS!$C$210:$Z$210,1,MATCH($B$3,NORMATIVOS!$C$1:$Z$1,0))="Consolidado")+--(INDEX(NORMATIVOS!$C$211:$Z$211,1,MATCH($B$3,NORMATIVOS!$C$1:$Z$1,0))="Consolidado")+--(INDEX(NORMATIVOS!$C$212:$Z$212,1,MATCH($B$3,NORMATIVOS!$C$1:$Z$1,0))="Consolidado")+--(INDEX(NORMATIVOS!$C$213:$Z$213,1,MATCH($B$3,NORMATIVOS!$C$1:$Z$1,0))="Consolidado")+--(INDEX(NORMATIVOS!$C$214:$Z$214,1,MATCH($B$3,NORMATIVOS!$C$1:$Z$1,0))="Consolidado")+--(INDEX(NORMATIVOS!$C$215:$Z$215,1,MATCH($B$3,NORMATIVOS!$C$1:$Z$1,0))="Consolidado")+--(INDEX(NORMATIVOS!$C$216:$Z$216,1,MATCH($B$3,NORMATIVOS!$C$1:$Z$1,0))="Consolidado")</f>
        <v>11</v>
      </c>
      <c r="F18">
        <f>--(INDEX(NORMATIVOS!$C$193:$Z$193,1,MATCH($B$3,NORMATIVOS!$C$1:$Z$1,0))="En proceso")+--(INDEX(NORMATIVOS!$C$194:$Z$194,1,MATCH($B$3,NORMATIVOS!$C$1:$Z$1,0))="En proceso")+--(INDEX(NORMATIVOS!$C$195:$Z$195,1,MATCH($B$3,NORMATIVOS!$C$1:$Z$1,0))="En proceso")+--(INDEX(NORMATIVOS!$C$196:$Z$196,1,MATCH($B$3,NORMATIVOS!$C$1:$Z$1,0))="En proceso")+--(INDEX(NORMATIVOS!$C$197:$Z$197,1,MATCH($B$3,NORMATIVOS!$C$1:$Z$1,0))="En proceso")+--(INDEX(NORMATIVOS!$C$198:$Z$198,1,MATCH($B$3,NORMATIVOS!$C$1:$Z$1,0))="En proceso")+--(INDEX(NORMATIVOS!$C$199:$Z$199,1,MATCH($B$3,NORMATIVOS!$C$1:$Z$1,0))="En proceso")+--(INDEX(NORMATIVOS!$C$200:$Z$200,1,MATCH($B$3,NORMATIVOS!$C$1:$Z$1,0))="En proceso")+--(INDEX(NORMATIVOS!$C$201:$Z$201,1,MATCH($B$3,NORMATIVOS!$C$1:$Z$1,0))="En proceso")+--(INDEX(NORMATIVOS!$C$202:$Z$202,1,MATCH($B$3,NORMATIVOS!$C$1:$Z$1,0))="En proceso")+--(INDEX(NORMATIVOS!$C$203:$Z$203,1,MATCH($B$3,NORMATIVOS!$C$1:$Z$1,0))="En proceso")+--(INDEX(NORMATIVOS!$C$204:$Z$204,1,MATCH($B$3,NORMATIVOS!$C$1:$Z$1,0))="En proceso")+--(INDEX(NORMATIVOS!$C$205:$Z$205,1,MATCH($B$3,NORMATIVOS!$C$1:$Z$1,0))="En proceso")+--(INDEX(NORMATIVOS!$C$206:$Z$206,1,MATCH($B$3,NORMATIVOS!$C$1:$Z$1,0))="En proceso")+--(INDEX(NORMATIVOS!$C$207:$Z$207,1,MATCH($B$3,NORMATIVOS!$C$1:$Z$1,0))="En proceso")+--(INDEX(NORMATIVOS!$C$208:$Z$208,1,MATCH($B$3,NORMATIVOS!$C$1:$Z$1,0))="En proceso")+--(INDEX(NORMATIVOS!$C$209:$Z$209,1,MATCH($B$3,NORMATIVOS!$C$1:$Z$1,0))="En proceso")+--(INDEX(NORMATIVOS!$C$210:$Z$210,1,MATCH($B$3,NORMATIVOS!$C$1:$Z$1,0))="En proceso")+--(INDEX(NORMATIVOS!$C$211:$Z$211,1,MATCH($B$3,NORMATIVOS!$C$1:$Z$1,0))="En proceso")+--(INDEX(NORMATIVOS!$C$212:$Z$212,1,MATCH($B$3,NORMATIVOS!$C$1:$Z$1,0))="En proceso")+--(INDEX(NORMATIVOS!$C$213:$Z$213,1,MATCH($B$3,NORMATIVOS!$C$1:$Z$1,0))="En proceso")+--(INDEX(NORMATIVOS!$C$214:$Z$214,1,MATCH($B$3,NORMATIVOS!$C$1:$Z$1,0))="En proceso")+--(INDEX(NORMATIVOS!$C$215:$Z$215,1,MATCH($B$3,NORMATIVOS!$C$1:$Z$1,0))="En proceso")+--(INDEX(NORMATIVOS!$C$216:$Z$216,1,MATCH($B$3,NORMATIVOS!$C$1:$Z$1,0))="En proceso")</f>
        <v>2</v>
      </c>
      <c r="G18">
        <f>--(INDEX(NORMATIVOS!$C$193:$Z$193,1,MATCH($B$3,NORMATIVOS!$C$1:$Z$1,0))="Proyección")+--(INDEX(NORMATIVOS!$C$194:$Z$194,1,MATCH($B$3,NORMATIVOS!$C$1:$Z$1,0))="Proyección")+--(INDEX(NORMATIVOS!$C$195:$Z$195,1,MATCH($B$3,NORMATIVOS!$C$1:$Z$1,0))="Proyección")+--(INDEX(NORMATIVOS!$C$196:$Z$196,1,MATCH($B$3,NORMATIVOS!$C$1:$Z$1,0))="Proyección")+--(INDEX(NORMATIVOS!$C$197:$Z$197,1,MATCH($B$3,NORMATIVOS!$C$1:$Z$1,0))="Proyección")+--(INDEX(NORMATIVOS!$C$198:$Z$198,1,MATCH($B$3,NORMATIVOS!$C$1:$Z$1,0))="Proyección")+--(INDEX(NORMATIVOS!$C$199:$Z$199,1,MATCH($B$3,NORMATIVOS!$C$1:$Z$1,0))="Proyección")+--(INDEX(NORMATIVOS!$C$200:$Z$200,1,MATCH($B$3,NORMATIVOS!$C$1:$Z$1,0))="Proyección")+--(INDEX(NORMATIVOS!$C$201:$Z$201,1,MATCH($B$3,NORMATIVOS!$C$1:$Z$1,0))="Proyección")+--(INDEX(NORMATIVOS!$C$202:$Z$202,1,MATCH($B$3,NORMATIVOS!$C$1:$Z$1,0))="Proyección")+--(INDEX(NORMATIVOS!$C$203:$Z$203,1,MATCH($B$3,NORMATIVOS!$C$1:$Z$1,0))="Proyección")+--(INDEX(NORMATIVOS!$C$204:$Z$204,1,MATCH($B$3,NORMATIVOS!$C$1:$Z$1,0))="Proyección")+--(INDEX(NORMATIVOS!$C$205:$Z$205,1,MATCH($B$3,NORMATIVOS!$C$1:$Z$1,0))="Proyección")+--(INDEX(NORMATIVOS!$C$206:$Z$206,1,MATCH($B$3,NORMATIVOS!$C$1:$Z$1,0))="Proyección")+--(INDEX(NORMATIVOS!$C$207:$Z$207,1,MATCH($B$3,NORMATIVOS!$C$1:$Z$1,0))="Proyección")+--(INDEX(NORMATIVOS!$C$208:$Z$208,1,MATCH($B$3,NORMATIVOS!$C$1:$Z$1,0))="Proyección")+--(INDEX(NORMATIVOS!$C$209:$Z$209,1,MATCH($B$3,NORMATIVOS!$C$1:$Z$1,0))="Proyección")+--(INDEX(NORMATIVOS!$C$210:$Z$210,1,MATCH($B$3,NORMATIVOS!$C$1:$Z$1,0))="Proyección")+--(INDEX(NORMATIVOS!$C$211:$Z$211,1,MATCH($B$3,NORMATIVOS!$C$1:$Z$1,0))="Proyección")+--(INDEX(NORMATIVOS!$C$212:$Z$212,1,MATCH($B$3,NORMATIVOS!$C$1:$Z$1,0))="Proyección")+--(INDEX(NORMATIVOS!$C$213:$Z$213,1,MATCH($B$3,NORMATIVOS!$C$1:$Z$1,0))="Proyección")+--(INDEX(NORMATIVOS!$C$214:$Z$214,1,MATCH($B$3,NORMATIVOS!$C$1:$Z$1,0))="Proyección")+--(INDEX(NORMATIVOS!$C$215:$Z$215,1,MATCH($B$3,NORMATIVOS!$C$1:$Z$1,0))="Proyección")+--(INDEX(NORMATIVOS!$C$216:$Z$216,1,MATCH($B$3,NORMATIVOS!$C$1:$Z$1,0))="Proyección")</f>
        <v>11</v>
      </c>
      <c r="H18" s="15">
        <f t="shared" si="0"/>
        <v>0.45833333333333331</v>
      </c>
      <c r="I18" t="str">
        <f>IF(F18&gt;0,CATALOGOS!$H$4,IF(G18&gt;0,CATALOGOS!$H$5,CATALOGOS!$H$3))</f>
        <v>Mesociclo</v>
      </c>
    </row>
    <row r="19" spans="1:9" x14ac:dyDescent="0.2">
      <c r="D19" t="s">
        <v>212</v>
      </c>
      <c r="E19">
        <f>--(INDEX(NORMATIVOS!$C$217:$Z$217,1,MATCH($B$3,NORMATIVOS!$C$1:$Z$1,0))="Consolidado")+--(INDEX(NORMATIVOS!$C$218:$Z$218,1,MATCH($B$3,NORMATIVOS!$C$1:$Z$1,0))="Consolidado")+--(INDEX(NORMATIVOS!$C$219:$Z$219,1,MATCH($B$3,NORMATIVOS!$C$1:$Z$1,0))="Consolidado")+--(INDEX(NORMATIVOS!$C$220:$Z$220,1,MATCH($B$3,NORMATIVOS!$C$1:$Z$1,0))="Consolidado")+--(INDEX(NORMATIVOS!$C$221:$Z$221,1,MATCH($B$3,NORMATIVOS!$C$1:$Z$1,0))="Consolidado")+--(INDEX(NORMATIVOS!$C$222:$Z$222,1,MATCH($B$3,NORMATIVOS!$C$1:$Z$1,0))="Consolidado")+--(INDEX(NORMATIVOS!$C$223:$Z$223,1,MATCH($B$3,NORMATIVOS!$C$1:$Z$1,0))="Consolidado")+--(INDEX(NORMATIVOS!$C$224:$Z$224,1,MATCH($B$3,NORMATIVOS!$C$1:$Z$1,0))="Consolidado")+--(INDEX(NORMATIVOS!$C$225:$Z$225,1,MATCH($B$3,NORMATIVOS!$C$1:$Z$1,0))="Consolidado")+--(INDEX(NORMATIVOS!$C$226:$Z$226,1,MATCH($B$3,NORMATIVOS!$C$1:$Z$1,0))="Consolidado")+--(INDEX(NORMATIVOS!$C$227:$Z$227,1,MATCH($B$3,NORMATIVOS!$C$1:$Z$1,0))="Consolidado")+--(INDEX(NORMATIVOS!$C$228:$Z$228,1,MATCH($B$3,NORMATIVOS!$C$1:$Z$1,0))="Consolidado")+--(INDEX(NORMATIVOS!$C$229:$Z$229,1,MATCH($B$3,NORMATIVOS!$C$1:$Z$1,0))="Consolidado")</f>
        <v>3</v>
      </c>
      <c r="F19">
        <f>--(INDEX(NORMATIVOS!$C$217:$Z$217,1,MATCH($B$3,NORMATIVOS!$C$1:$Z$1,0))="En proceso")+--(INDEX(NORMATIVOS!$C$218:$Z$218,1,MATCH($B$3,NORMATIVOS!$C$1:$Z$1,0))="En proceso")+--(INDEX(NORMATIVOS!$C$219:$Z$219,1,MATCH($B$3,NORMATIVOS!$C$1:$Z$1,0))="En proceso")+--(INDEX(NORMATIVOS!$C$220:$Z$220,1,MATCH($B$3,NORMATIVOS!$C$1:$Z$1,0))="En proceso")+--(INDEX(NORMATIVOS!$C$221:$Z$221,1,MATCH($B$3,NORMATIVOS!$C$1:$Z$1,0))="En proceso")+--(INDEX(NORMATIVOS!$C$222:$Z$222,1,MATCH($B$3,NORMATIVOS!$C$1:$Z$1,0))="En proceso")+--(INDEX(NORMATIVOS!$C$223:$Z$223,1,MATCH($B$3,NORMATIVOS!$C$1:$Z$1,0))="En proceso")+--(INDEX(NORMATIVOS!$C$224:$Z$224,1,MATCH($B$3,NORMATIVOS!$C$1:$Z$1,0))="En proceso")+--(INDEX(NORMATIVOS!$C$225:$Z$225,1,MATCH($B$3,NORMATIVOS!$C$1:$Z$1,0))="En proceso")+--(INDEX(NORMATIVOS!$C$226:$Z$226,1,MATCH($B$3,NORMATIVOS!$C$1:$Z$1,0))="En proceso")+--(INDEX(NORMATIVOS!$C$227:$Z$227,1,MATCH($B$3,NORMATIVOS!$C$1:$Z$1,0))="En proceso")+--(INDEX(NORMATIVOS!$C$228:$Z$228,1,MATCH($B$3,NORMATIVOS!$C$1:$Z$1,0))="En proceso")+--(INDEX(NORMATIVOS!$C$229:$Z$229,1,MATCH($B$3,NORMATIVOS!$C$1:$Z$1,0))="En proceso")</f>
        <v>2</v>
      </c>
      <c r="G19">
        <f>--(INDEX(NORMATIVOS!$C$217:$Z$217,1,MATCH($B$3,NORMATIVOS!$C$1:$Z$1,0))="Proyección")+--(INDEX(NORMATIVOS!$C$218:$Z$218,1,MATCH($B$3,NORMATIVOS!$C$1:$Z$1,0))="Proyección")+--(INDEX(NORMATIVOS!$C$219:$Z$219,1,MATCH($B$3,NORMATIVOS!$C$1:$Z$1,0))="Proyección")+--(INDEX(NORMATIVOS!$C$220:$Z$220,1,MATCH($B$3,NORMATIVOS!$C$1:$Z$1,0))="Proyección")+--(INDEX(NORMATIVOS!$C$221:$Z$221,1,MATCH($B$3,NORMATIVOS!$C$1:$Z$1,0))="Proyección")+--(INDEX(NORMATIVOS!$C$222:$Z$222,1,MATCH($B$3,NORMATIVOS!$C$1:$Z$1,0))="Proyección")+--(INDEX(NORMATIVOS!$C$223:$Z$223,1,MATCH($B$3,NORMATIVOS!$C$1:$Z$1,0))="Proyección")+--(INDEX(NORMATIVOS!$C$224:$Z$224,1,MATCH($B$3,NORMATIVOS!$C$1:$Z$1,0))="Proyección")+--(INDEX(NORMATIVOS!$C$225:$Z$225,1,MATCH($B$3,NORMATIVOS!$C$1:$Z$1,0))="Proyección")+--(INDEX(NORMATIVOS!$C$226:$Z$226,1,MATCH($B$3,NORMATIVOS!$C$1:$Z$1,0))="Proyección")+--(INDEX(NORMATIVOS!$C$227:$Z$227,1,MATCH($B$3,NORMATIVOS!$C$1:$Z$1,0))="Proyección")+--(INDEX(NORMATIVOS!$C$228:$Z$228,1,MATCH($B$3,NORMATIVOS!$C$1:$Z$1,0))="Proyección")+--(INDEX(NORMATIVOS!$C$229:$Z$229,1,MATCH($B$3,NORMATIVOS!$C$1:$Z$1,0))="Proyección")</f>
        <v>8</v>
      </c>
      <c r="H19" s="15">
        <f t="shared" si="0"/>
        <v>0.23076923076923078</v>
      </c>
      <c r="I19" t="str">
        <f>IF(F19&gt;0,CATALOGOS!$H$4,IF(G19&gt;0,CATALOGOS!$H$5,CATALOGOS!$H$3))</f>
        <v>Mesociclo</v>
      </c>
    </row>
    <row r="20" spans="1:9" x14ac:dyDescent="0.2">
      <c r="D20" t="s">
        <v>223</v>
      </c>
      <c r="E20">
        <f>--(INDEX(NORMATIVOS!$C$232:$Z$232,1,MATCH($B$3,NORMATIVOS!$C$1:$Z$1,0))="Consolidado")+--(INDEX(NORMATIVOS!$C$233:$Z$233,1,MATCH($B$3,NORMATIVOS!$C$1:$Z$1,0))="Consolidado")+--(INDEX(NORMATIVOS!$C$234:$Z$234,1,MATCH($B$3,NORMATIVOS!$C$1:$Z$1,0))="Consolidado")+--(INDEX(NORMATIVOS!$C$235:$Z$235,1,MATCH($B$3,NORMATIVOS!$C$1:$Z$1,0))="Consolidado")+--(INDEX(NORMATIVOS!$C$236:$Z$236,1,MATCH($B$3,NORMATIVOS!$C$1:$Z$1,0))="Consolidado")+--(INDEX(NORMATIVOS!$C$237:$Z$237,1,MATCH($B$3,NORMATIVOS!$C$1:$Z$1,0))="Consolidado")+--(INDEX(NORMATIVOS!$C$238:$Z$238,1,MATCH($B$3,NORMATIVOS!$C$1:$Z$1,0))="Consolidado")+--(INDEX(NORMATIVOS!$C$239:$Z$239,1,MATCH($B$3,NORMATIVOS!$C$1:$Z$1,0))="Consolidado")+--(INDEX(NORMATIVOS!$C$240:$Z$240,1,MATCH($B$3,NORMATIVOS!$C$1:$Z$1,0))="Consolidado")+--(INDEX(NORMATIVOS!$C$241:$Z$241,1,MATCH($B$3,NORMATIVOS!$C$1:$Z$1,0))="Consolidado")+--(INDEX(NORMATIVOS!$C$242:$Z$242,1,MATCH($B$3,NORMATIVOS!$C$1:$Z$1,0))="Consolidado")+--(INDEX(NORMATIVOS!$C$243:$Z$243,1,MATCH($B$3,NORMATIVOS!$C$1:$Z$1,0))="Consolidado")+--(INDEX(NORMATIVOS!$C$244:$Z$244,1,MATCH($B$3,NORMATIVOS!$C$1:$Z$1,0))="Consolidado")+--(INDEX(NORMATIVOS!$C$245:$Z$245,1,MATCH($B$3,NORMATIVOS!$C$1:$Z$1,0))="Consolidado")+--(INDEX(NORMATIVOS!$C$246:$Z$246,1,MATCH($B$3,NORMATIVOS!$C$1:$Z$1,0))="Consolidado")+--(INDEX(NORMATIVOS!$C$247:$Z$247,1,MATCH($B$3,NORMATIVOS!$C$1:$Z$1,0))="Consolidado")+--(INDEX(NORMATIVOS!$C$248:$Z$248,1,MATCH($B$3,NORMATIVOS!$C$1:$Z$1,0))="Consolidado")+--(INDEX(NORMATIVOS!$C$249:$Z$249,1,MATCH($B$3,NORMATIVOS!$C$1:$Z$1,0))="Consolidado")+--(INDEX(NORMATIVOS!$C$250:$Z$250,1,MATCH($B$3,NORMATIVOS!$C$1:$Z$1,0))="Consolidado")+--(INDEX(NORMATIVOS!$C$251:$Z$251,1,MATCH($B$3,NORMATIVOS!$C$1:$Z$1,0))="Consolidado")+--(INDEX(NORMATIVOS!$C$252:$Z$252,1,MATCH($B$3,NORMATIVOS!$C$1:$Z$1,0))="Consolidado")+--(INDEX(NORMATIVOS!$C$253:$Z$253,1,MATCH($B$3,NORMATIVOS!$C$1:$Z$1,0))="Consolidado")+--(INDEX(NORMATIVOS!$C$254:$Z$254,1,MATCH($B$3,NORMATIVOS!$C$1:$Z$1,0))="Consolidado")+--(INDEX(NORMATIVOS!$C$255:$Z$255,1,MATCH($B$3,NORMATIVOS!$C$1:$Z$1,0))="Consolidado")+--(INDEX(NORMATIVOS!$C$256:$Z$256,1,MATCH($B$3,NORMATIVOS!$C$1:$Z$1,0))="Consolidado")+--(INDEX(NORMATIVOS!$C$257:$Z$257,1,MATCH($B$3,NORMATIVOS!$C$1:$Z$1,0))="Consolidado")+--(INDEX(NORMATIVOS!$C$258:$Z$258,1,MATCH($B$3,NORMATIVOS!$C$1:$Z$1,0))="Consolidado")+--(INDEX(NORMATIVOS!$C$259:$Z$259,1,MATCH($B$3,NORMATIVOS!$C$1:$Z$1,0))="Consolidado")</f>
        <v>15</v>
      </c>
      <c r="F20">
        <f>--(INDEX(NORMATIVOS!$C$232:$Z$232,1,MATCH($B$3,NORMATIVOS!$C$1:$Z$1,0))="En proceso")+--(INDEX(NORMATIVOS!$C$233:$Z$233,1,MATCH($B$3,NORMATIVOS!$C$1:$Z$1,0))="En proceso")+--(INDEX(NORMATIVOS!$C$234:$Z$234,1,MATCH($B$3,NORMATIVOS!$C$1:$Z$1,0))="En proceso")+--(INDEX(NORMATIVOS!$C$235:$Z$235,1,MATCH($B$3,NORMATIVOS!$C$1:$Z$1,0))="En proceso")+--(INDEX(NORMATIVOS!$C$236:$Z$236,1,MATCH($B$3,NORMATIVOS!$C$1:$Z$1,0))="En proceso")+--(INDEX(NORMATIVOS!$C$237:$Z$237,1,MATCH($B$3,NORMATIVOS!$C$1:$Z$1,0))="En proceso")+--(INDEX(NORMATIVOS!$C$238:$Z$238,1,MATCH($B$3,NORMATIVOS!$C$1:$Z$1,0))="En proceso")+--(INDEX(NORMATIVOS!$C$239:$Z$239,1,MATCH($B$3,NORMATIVOS!$C$1:$Z$1,0))="En proceso")+--(INDEX(NORMATIVOS!$C$240:$Z$240,1,MATCH($B$3,NORMATIVOS!$C$1:$Z$1,0))="En proceso")+--(INDEX(NORMATIVOS!$C$241:$Z$241,1,MATCH($B$3,NORMATIVOS!$C$1:$Z$1,0))="En proceso")+--(INDEX(NORMATIVOS!$C$242:$Z$242,1,MATCH($B$3,NORMATIVOS!$C$1:$Z$1,0))="En proceso")+--(INDEX(NORMATIVOS!$C$243:$Z$243,1,MATCH($B$3,NORMATIVOS!$C$1:$Z$1,0))="En proceso")+--(INDEX(NORMATIVOS!$C$244:$Z$244,1,MATCH($B$3,NORMATIVOS!$C$1:$Z$1,0))="En proceso")+--(INDEX(NORMATIVOS!$C$245:$Z$245,1,MATCH($B$3,NORMATIVOS!$C$1:$Z$1,0))="En proceso")+--(INDEX(NORMATIVOS!$C$246:$Z$246,1,MATCH($B$3,NORMATIVOS!$C$1:$Z$1,0))="En proceso")+--(INDEX(NORMATIVOS!$C$247:$Z$247,1,MATCH($B$3,NORMATIVOS!$C$1:$Z$1,0))="En proceso")+--(INDEX(NORMATIVOS!$C$248:$Z$248,1,MATCH($B$3,NORMATIVOS!$C$1:$Z$1,0))="En proceso")+--(INDEX(NORMATIVOS!$C$249:$Z$249,1,MATCH($B$3,NORMATIVOS!$C$1:$Z$1,0))="En proceso")+--(INDEX(NORMATIVOS!$C$250:$Z$250,1,MATCH($B$3,NORMATIVOS!$C$1:$Z$1,0))="En proceso")+--(INDEX(NORMATIVOS!$C$251:$Z$251,1,MATCH($B$3,NORMATIVOS!$C$1:$Z$1,0))="En proceso")+--(INDEX(NORMATIVOS!$C$252:$Z$252,1,MATCH($B$3,NORMATIVOS!$C$1:$Z$1,0))="En proceso")+--(INDEX(NORMATIVOS!$C$253:$Z$253,1,MATCH($B$3,NORMATIVOS!$C$1:$Z$1,0))="En proceso")+--(INDEX(NORMATIVOS!$C$254:$Z$254,1,MATCH($B$3,NORMATIVOS!$C$1:$Z$1,0))="En proceso")+--(INDEX(NORMATIVOS!$C$255:$Z$255,1,MATCH($B$3,NORMATIVOS!$C$1:$Z$1,0))="En proceso")+--(INDEX(NORMATIVOS!$C$256:$Z$256,1,MATCH($B$3,NORMATIVOS!$C$1:$Z$1,0))="En proceso")+--(INDEX(NORMATIVOS!$C$257:$Z$257,1,MATCH($B$3,NORMATIVOS!$C$1:$Z$1,0))="En proceso")+--(INDEX(NORMATIVOS!$C$258:$Z$258,1,MATCH($B$3,NORMATIVOS!$C$1:$Z$1,0))="En proceso")+--(INDEX(NORMATIVOS!$C$259:$Z$259,1,MATCH($B$3,NORMATIVOS!$C$1:$Z$1,0))="En proceso")</f>
        <v>0</v>
      </c>
      <c r="G20">
        <f>--(INDEX(NORMATIVOS!$C$232:$Z$232,1,MATCH($B$3,NORMATIVOS!$C$1:$Z$1,0))="Proyección")+--(INDEX(NORMATIVOS!$C$233:$Z$233,1,MATCH($B$3,NORMATIVOS!$C$1:$Z$1,0))="Proyección")+--(INDEX(NORMATIVOS!$C$234:$Z$234,1,MATCH($B$3,NORMATIVOS!$C$1:$Z$1,0))="Proyección")+--(INDEX(NORMATIVOS!$C$235:$Z$235,1,MATCH($B$3,NORMATIVOS!$C$1:$Z$1,0))="Proyección")+--(INDEX(NORMATIVOS!$C$236:$Z$236,1,MATCH($B$3,NORMATIVOS!$C$1:$Z$1,0))="Proyección")+--(INDEX(NORMATIVOS!$C$237:$Z$237,1,MATCH($B$3,NORMATIVOS!$C$1:$Z$1,0))="Proyección")+--(INDEX(NORMATIVOS!$C$238:$Z$238,1,MATCH($B$3,NORMATIVOS!$C$1:$Z$1,0))="Proyección")+--(INDEX(NORMATIVOS!$C$239:$Z$239,1,MATCH($B$3,NORMATIVOS!$C$1:$Z$1,0))="Proyección")+--(INDEX(NORMATIVOS!$C$240:$Z$240,1,MATCH($B$3,NORMATIVOS!$C$1:$Z$1,0))="Proyección")+--(INDEX(NORMATIVOS!$C$241:$Z$241,1,MATCH($B$3,NORMATIVOS!$C$1:$Z$1,0))="Proyección")+--(INDEX(NORMATIVOS!$C$242:$Z$242,1,MATCH($B$3,NORMATIVOS!$C$1:$Z$1,0))="Proyección")+--(INDEX(NORMATIVOS!$C$243:$Z$243,1,MATCH($B$3,NORMATIVOS!$C$1:$Z$1,0))="Proyección")+--(INDEX(NORMATIVOS!$C$244:$Z$244,1,MATCH($B$3,NORMATIVOS!$C$1:$Z$1,0))="Proyección")+--(INDEX(NORMATIVOS!$C$245:$Z$245,1,MATCH($B$3,NORMATIVOS!$C$1:$Z$1,0))="Proyección")+--(INDEX(NORMATIVOS!$C$246:$Z$246,1,MATCH($B$3,NORMATIVOS!$C$1:$Z$1,0))="Proyección")+--(INDEX(NORMATIVOS!$C$247:$Z$247,1,MATCH($B$3,NORMATIVOS!$C$1:$Z$1,0))="Proyección")+--(INDEX(NORMATIVOS!$C$248:$Z$248,1,MATCH($B$3,NORMATIVOS!$C$1:$Z$1,0))="Proyección")+--(INDEX(NORMATIVOS!$C$249:$Z$249,1,MATCH($B$3,NORMATIVOS!$C$1:$Z$1,0))="Proyección")+--(INDEX(NORMATIVOS!$C$250:$Z$250,1,MATCH($B$3,NORMATIVOS!$C$1:$Z$1,0))="Proyección")+--(INDEX(NORMATIVOS!$C$251:$Z$251,1,MATCH($B$3,NORMATIVOS!$C$1:$Z$1,0))="Proyección")+--(INDEX(NORMATIVOS!$C$252:$Z$252,1,MATCH($B$3,NORMATIVOS!$C$1:$Z$1,0))="Proyección")+--(INDEX(NORMATIVOS!$C$253:$Z$253,1,MATCH($B$3,NORMATIVOS!$C$1:$Z$1,0))="Proyección")+--(INDEX(NORMATIVOS!$C$254:$Z$254,1,MATCH($B$3,NORMATIVOS!$C$1:$Z$1,0))="Proyección")+--(INDEX(NORMATIVOS!$C$255:$Z$255,1,MATCH($B$3,NORMATIVOS!$C$1:$Z$1,0))="Proyección")+--(INDEX(NORMATIVOS!$C$256:$Z$256,1,MATCH($B$3,NORMATIVOS!$C$1:$Z$1,0))="Proyección")+--(INDEX(NORMATIVOS!$C$257:$Z$257,1,MATCH($B$3,NORMATIVOS!$C$1:$Z$1,0))="Proyección")+--(INDEX(NORMATIVOS!$C$258:$Z$258,1,MATCH($B$3,NORMATIVOS!$C$1:$Z$1,0))="Proyección")+--(INDEX(NORMATIVOS!$C$259:$Z$259,1,MATCH($B$3,NORMATIVOS!$C$1:$Z$1,0))="Proyección")</f>
        <v>13</v>
      </c>
      <c r="H20" s="15">
        <f t="shared" si="0"/>
        <v>0.5357142857142857</v>
      </c>
      <c r="I20" t="str">
        <f>IF(F20&gt;0,CATALOGOS!$H$4,IF(G20&gt;0,CATALOGOS!$H$5,CATALOGOS!$H$3))</f>
        <v>Macrociclo</v>
      </c>
    </row>
    <row r="21" spans="1:9" x14ac:dyDescent="0.2">
      <c r="D21" t="s">
        <v>248</v>
      </c>
      <c r="E21">
        <f>--(INDEX(NORMATIVOS!$C$260:$Z$260,1,MATCH($B$3,NORMATIVOS!$C$1:$Z$1,0))="Consolidado")+--(INDEX(NORMATIVOS!$C$261:$Z$261,1,MATCH($B$3,NORMATIVOS!$C$1:$Z$1,0))="Consolidado")+--(INDEX(NORMATIVOS!$C$262:$Z$262,1,MATCH($B$3,NORMATIVOS!$C$1:$Z$1,0))="Consolidado")+--(INDEX(NORMATIVOS!$C$263:$Z$263,1,MATCH($B$3,NORMATIVOS!$C$1:$Z$1,0))="Consolidado")+--(INDEX(NORMATIVOS!$C$264:$Z$264,1,MATCH($B$3,NORMATIVOS!$C$1:$Z$1,0))="Consolidado")+--(INDEX(NORMATIVOS!$C$265:$Z$265,1,MATCH($B$3,NORMATIVOS!$C$1:$Z$1,0))="Consolidado")+--(INDEX(NORMATIVOS!$C$266:$Z$266,1,MATCH($B$3,NORMATIVOS!$C$1:$Z$1,0))="Consolidado")+--(INDEX(NORMATIVOS!$C$267:$Z$267,1,MATCH($B$3,NORMATIVOS!$C$1:$Z$1,0))="Consolidado")+--(INDEX(NORMATIVOS!$C$268:$Z$268,1,MATCH($B$3,NORMATIVOS!$C$1:$Z$1,0))="Consolidado")+--(INDEX(NORMATIVOS!$C$269:$Z$269,1,MATCH($B$3,NORMATIVOS!$C$1:$Z$1,0))="Consolidado")+--(INDEX(NORMATIVOS!$C$270:$Z$270,1,MATCH($B$3,NORMATIVOS!$C$1:$Z$1,0))="Consolidado")+--(INDEX(NORMATIVOS!$C$271:$Z$271,1,MATCH($B$3,NORMATIVOS!$C$1:$Z$1,0))="Consolidado")+--(INDEX(NORMATIVOS!$C$272:$Z$272,1,MATCH($B$3,NORMATIVOS!$C$1:$Z$1,0))="Consolidado")+--(INDEX(NORMATIVOS!$C$273:$Z$273,1,MATCH($B$3,NORMATIVOS!$C$1:$Z$1,0))="Consolidado")+--(INDEX(NORMATIVOS!$C$274:$Z$274,1,MATCH($B$3,NORMATIVOS!$C$1:$Z$1,0))="Consolidado")+--(INDEX(NORMATIVOS!$C$275:$Z$275,1,MATCH($B$3,NORMATIVOS!$C$1:$Z$1,0))="Consolidado")+--(INDEX(NORMATIVOS!$C$276:$Z$276,1,MATCH($B$3,NORMATIVOS!$C$1:$Z$1,0))="Consolidado")</f>
        <v>5</v>
      </c>
      <c r="F21">
        <f>--(INDEX(NORMATIVOS!$C$260:$Z$260,1,MATCH($B$3,NORMATIVOS!$C$1:$Z$1,0))="En proceso")+--(INDEX(NORMATIVOS!$C$261:$Z$261,1,MATCH($B$3,NORMATIVOS!$C$1:$Z$1,0))="En proceso")+--(INDEX(NORMATIVOS!$C$262:$Z$262,1,MATCH($B$3,NORMATIVOS!$C$1:$Z$1,0))="En proceso")+--(INDEX(NORMATIVOS!$C$263:$Z$263,1,MATCH($B$3,NORMATIVOS!$C$1:$Z$1,0))="En proceso")+--(INDEX(NORMATIVOS!$C$264:$Z$264,1,MATCH($B$3,NORMATIVOS!$C$1:$Z$1,0))="En proceso")+--(INDEX(NORMATIVOS!$C$265:$Z$265,1,MATCH($B$3,NORMATIVOS!$C$1:$Z$1,0))="En proceso")+--(INDEX(NORMATIVOS!$C$266:$Z$266,1,MATCH($B$3,NORMATIVOS!$C$1:$Z$1,0))="En proceso")+--(INDEX(NORMATIVOS!$C$267:$Z$267,1,MATCH($B$3,NORMATIVOS!$C$1:$Z$1,0))="En proceso")+--(INDEX(NORMATIVOS!$C$268:$Z$268,1,MATCH($B$3,NORMATIVOS!$C$1:$Z$1,0))="En proceso")+--(INDEX(NORMATIVOS!$C$269:$Z$269,1,MATCH($B$3,NORMATIVOS!$C$1:$Z$1,0))="En proceso")+--(INDEX(NORMATIVOS!$C$270:$Z$270,1,MATCH($B$3,NORMATIVOS!$C$1:$Z$1,0))="En proceso")+--(INDEX(NORMATIVOS!$C$271:$Z$271,1,MATCH($B$3,NORMATIVOS!$C$1:$Z$1,0))="En proceso")+--(INDEX(NORMATIVOS!$C$272:$Z$272,1,MATCH($B$3,NORMATIVOS!$C$1:$Z$1,0))="En proceso")+--(INDEX(NORMATIVOS!$C$273:$Z$273,1,MATCH($B$3,NORMATIVOS!$C$1:$Z$1,0))="En proceso")+--(INDEX(NORMATIVOS!$C$274:$Z$274,1,MATCH($B$3,NORMATIVOS!$C$1:$Z$1,0))="En proceso")+--(INDEX(NORMATIVOS!$C$275:$Z$275,1,MATCH($B$3,NORMATIVOS!$C$1:$Z$1,0))="En proceso")+--(INDEX(NORMATIVOS!$C$276:$Z$276,1,MATCH($B$3,NORMATIVOS!$C$1:$Z$1,0))="En proceso")</f>
        <v>6</v>
      </c>
      <c r="G21">
        <f>--(INDEX(NORMATIVOS!$C$260:$Z$260,1,MATCH($B$3,NORMATIVOS!$C$1:$Z$1,0))="Proyección")+--(INDEX(NORMATIVOS!$C$261:$Z$261,1,MATCH($B$3,NORMATIVOS!$C$1:$Z$1,0))="Proyección")+--(INDEX(NORMATIVOS!$C$262:$Z$262,1,MATCH($B$3,NORMATIVOS!$C$1:$Z$1,0))="Proyección")+--(INDEX(NORMATIVOS!$C$263:$Z$263,1,MATCH($B$3,NORMATIVOS!$C$1:$Z$1,0))="Proyección")+--(INDEX(NORMATIVOS!$C$264:$Z$264,1,MATCH($B$3,NORMATIVOS!$C$1:$Z$1,0))="Proyección")+--(INDEX(NORMATIVOS!$C$265:$Z$265,1,MATCH($B$3,NORMATIVOS!$C$1:$Z$1,0))="Proyección")+--(INDEX(NORMATIVOS!$C$266:$Z$266,1,MATCH($B$3,NORMATIVOS!$C$1:$Z$1,0))="Proyección")+--(INDEX(NORMATIVOS!$C$267:$Z$267,1,MATCH($B$3,NORMATIVOS!$C$1:$Z$1,0))="Proyección")+--(INDEX(NORMATIVOS!$C$268:$Z$268,1,MATCH($B$3,NORMATIVOS!$C$1:$Z$1,0))="Proyección")+--(INDEX(NORMATIVOS!$C$269:$Z$269,1,MATCH($B$3,NORMATIVOS!$C$1:$Z$1,0))="Proyección")+--(INDEX(NORMATIVOS!$C$270:$Z$270,1,MATCH($B$3,NORMATIVOS!$C$1:$Z$1,0))="Proyección")+--(INDEX(NORMATIVOS!$C$271:$Z$271,1,MATCH($B$3,NORMATIVOS!$C$1:$Z$1,0))="Proyección")+--(INDEX(NORMATIVOS!$C$272:$Z$272,1,MATCH($B$3,NORMATIVOS!$C$1:$Z$1,0))="Proyección")+--(INDEX(NORMATIVOS!$C$273:$Z$273,1,MATCH($B$3,NORMATIVOS!$C$1:$Z$1,0))="Proyección")+--(INDEX(NORMATIVOS!$C$274:$Z$274,1,MATCH($B$3,NORMATIVOS!$C$1:$Z$1,0))="Proyección")+--(INDEX(NORMATIVOS!$C$275:$Z$275,1,MATCH($B$3,NORMATIVOS!$C$1:$Z$1,0))="Proyección")+--(INDEX(NORMATIVOS!$C$276:$Z$276,1,MATCH($B$3,NORMATIVOS!$C$1:$Z$1,0))="Proyección")</f>
        <v>6</v>
      </c>
      <c r="H21" s="15">
        <f t="shared" si="0"/>
        <v>0.29411764705882354</v>
      </c>
      <c r="I21" t="str">
        <f>IF(F21&gt;0,CATALOGOS!$H$4,IF(G21&gt;0,CATALOGOS!$H$5,CATALOGOS!$H$3))</f>
        <v>Mesociclo</v>
      </c>
    </row>
    <row r="25" spans="1:9" x14ac:dyDescent="0.2">
      <c r="A25" s="61" t="s">
        <v>289</v>
      </c>
      <c r="B25" s="59"/>
      <c r="C25" s="59"/>
    </row>
    <row r="26" spans="1:9" x14ac:dyDescent="0.2">
      <c r="A26" s="10" t="s">
        <v>288</v>
      </c>
      <c r="B26" s="10" t="s">
        <v>290</v>
      </c>
      <c r="C26" s="10" t="s">
        <v>291</v>
      </c>
      <c r="D26" s="10" t="s">
        <v>329</v>
      </c>
      <c r="E26" s="10" t="s">
        <v>330</v>
      </c>
    </row>
    <row r="27" spans="1:9" x14ac:dyDescent="0.2">
      <c r="A27" t="s">
        <v>1</v>
      </c>
      <c r="B27" t="s">
        <v>2</v>
      </c>
      <c r="C27" t="str">
        <f>INDEX(NORMATIVOS!$C$3:$Z$3,1,MATCH($B$3,NORMATIVOS!$C$1:$Z$1,0))</f>
        <v>En proceso</v>
      </c>
      <c r="D27" t="str">
        <f>IFERROR(INDEX(CATALOGOS!$H$3:$H$6,MATCH(C27,CATALOGOS!$G$3:$G$6,0)),"")</f>
        <v>Mesociclo</v>
      </c>
      <c r="E27" t="str">
        <f>IFERROR(INDEX(CATALOGOS!$I$3:$I$6,MATCH(C27,CATALOGOS!$G$3:$G$6,0)),"")</f>
        <v>Desarrollar / consolidar</v>
      </c>
    </row>
    <row r="28" spans="1:9" x14ac:dyDescent="0.2">
      <c r="A28" t="s">
        <v>1</v>
      </c>
      <c r="B28" t="s">
        <v>5</v>
      </c>
      <c r="C28" t="str">
        <f>INDEX(NORMATIVOS!$C$4:$Z$4,1,MATCH($B$3,NORMATIVOS!$C$1:$Z$1,0))</f>
        <v>En proceso</v>
      </c>
      <c r="D28" t="str">
        <f>IFERROR(INDEX(CATALOGOS!$H$3:$H$6,MATCH(C28,CATALOGOS!$G$3:$G$6,0)),"")</f>
        <v>Mesociclo</v>
      </c>
      <c r="E28" t="str">
        <f>IFERROR(INDEX(CATALOGOS!$I$3:$I$6,MATCH(C28,CATALOGOS!$G$3:$G$6,0)),"")</f>
        <v>Desarrollar / consolidar</v>
      </c>
    </row>
    <row r="29" spans="1:9" x14ac:dyDescent="0.2">
      <c r="A29" t="s">
        <v>1</v>
      </c>
      <c r="B29" t="s">
        <v>6</v>
      </c>
      <c r="C29" t="str">
        <f>INDEX(NORMATIVOS!$C$5:$Z$5,1,MATCH($B$3,NORMATIVOS!$C$1:$Z$1,0))</f>
        <v>Consolidado</v>
      </c>
      <c r="D29" t="str">
        <f>IFERROR(INDEX(CATALOGOS!$H$3:$H$6,MATCH(C29,CATALOGOS!$G$3:$G$6,0)),"")</f>
        <v>Microciclo</v>
      </c>
      <c r="E29" t="str">
        <f>IFERROR(INDEX(CATALOGOS!$I$3:$I$6,MATCH(C29,CATALOGOS!$G$3:$G$6,0)),"")</f>
        <v>Mantener / perfeccionar</v>
      </c>
    </row>
    <row r="30" spans="1:9" x14ac:dyDescent="0.2">
      <c r="A30" t="s">
        <v>1</v>
      </c>
      <c r="B30" t="s">
        <v>7</v>
      </c>
      <c r="C30" t="str">
        <f>INDEX(NORMATIVOS!$C$6:$Z$6,1,MATCH($B$3,NORMATIVOS!$C$1:$Z$1,0))</f>
        <v>Consolidado</v>
      </c>
      <c r="D30" t="str">
        <f>IFERROR(INDEX(CATALOGOS!$H$3:$H$6,MATCH(C30,CATALOGOS!$G$3:$G$6,0)),"")</f>
        <v>Microciclo</v>
      </c>
      <c r="E30" t="str">
        <f>IFERROR(INDEX(CATALOGOS!$I$3:$I$6,MATCH(C30,CATALOGOS!$G$3:$G$6,0)),"")</f>
        <v>Mantener / perfeccionar</v>
      </c>
    </row>
    <row r="31" spans="1:9" x14ac:dyDescent="0.2">
      <c r="A31" t="s">
        <v>1</v>
      </c>
      <c r="B31" t="s">
        <v>8</v>
      </c>
      <c r="C31" t="str">
        <f>INDEX(NORMATIVOS!$C$7:$Z$7,1,MATCH($B$3,NORMATIVOS!$C$1:$Z$1,0))</f>
        <v>En proceso</v>
      </c>
      <c r="D31" t="str">
        <f>IFERROR(INDEX(CATALOGOS!$H$3:$H$6,MATCH(C31,CATALOGOS!$G$3:$G$6,0)),"")</f>
        <v>Mesociclo</v>
      </c>
      <c r="E31" t="str">
        <f>IFERROR(INDEX(CATALOGOS!$I$3:$I$6,MATCH(C31,CATALOGOS!$G$3:$G$6,0)),"")</f>
        <v>Desarrollar / consolidar</v>
      </c>
    </row>
    <row r="32" spans="1:9" x14ac:dyDescent="0.2">
      <c r="A32" t="s">
        <v>1</v>
      </c>
      <c r="B32" t="s">
        <v>9</v>
      </c>
      <c r="C32" t="str">
        <f>INDEX(NORMATIVOS!$C$8:$Z$8,1,MATCH($B$3,NORMATIVOS!$C$1:$Z$1,0))</f>
        <v>En proceso</v>
      </c>
      <c r="D32" t="str">
        <f>IFERROR(INDEX(CATALOGOS!$H$3:$H$6,MATCH(C32,CATALOGOS!$G$3:$G$6,0)),"")</f>
        <v>Mesociclo</v>
      </c>
      <c r="E32" t="str">
        <f>IFERROR(INDEX(CATALOGOS!$I$3:$I$6,MATCH(C32,CATALOGOS!$G$3:$G$6,0)),"")</f>
        <v>Desarrollar / consolidar</v>
      </c>
    </row>
    <row r="33" spans="1:5" x14ac:dyDescent="0.2">
      <c r="A33" t="s">
        <v>1</v>
      </c>
      <c r="B33" t="s">
        <v>10</v>
      </c>
      <c r="C33" t="str">
        <f>INDEX(NORMATIVOS!$C$9:$Z$9,1,MATCH($B$3,NORMATIVOS!$C$1:$Z$1,0))</f>
        <v>En proceso</v>
      </c>
      <c r="D33" t="str">
        <f>IFERROR(INDEX(CATALOGOS!$H$3:$H$6,MATCH(C33,CATALOGOS!$G$3:$G$6,0)),"")</f>
        <v>Mesociclo</v>
      </c>
      <c r="E33" t="str">
        <f>IFERROR(INDEX(CATALOGOS!$I$3:$I$6,MATCH(C33,CATALOGOS!$G$3:$G$6,0)),"")</f>
        <v>Desarrollar / consolidar</v>
      </c>
    </row>
    <row r="34" spans="1:5" x14ac:dyDescent="0.2">
      <c r="A34" t="s">
        <v>1</v>
      </c>
      <c r="B34" t="s">
        <v>11</v>
      </c>
      <c r="C34" t="str">
        <f>INDEX(NORMATIVOS!$C$10:$Z$10,1,MATCH($B$3,NORMATIVOS!$C$1:$Z$1,0))</f>
        <v>En proceso</v>
      </c>
      <c r="D34" t="str">
        <f>IFERROR(INDEX(CATALOGOS!$H$3:$H$6,MATCH(C34,CATALOGOS!$G$3:$G$6,0)),"")</f>
        <v>Mesociclo</v>
      </c>
      <c r="E34" t="str">
        <f>IFERROR(INDEX(CATALOGOS!$I$3:$I$6,MATCH(C34,CATALOGOS!$G$3:$G$6,0)),"")</f>
        <v>Desarrollar / consolidar</v>
      </c>
    </row>
    <row r="35" spans="1:5" x14ac:dyDescent="0.2">
      <c r="A35" t="s">
        <v>1</v>
      </c>
      <c r="B35" t="s">
        <v>12</v>
      </c>
      <c r="C35" t="str">
        <f>INDEX(NORMATIVOS!$C$11:$Z$11,1,MATCH($B$3,NORMATIVOS!$C$1:$Z$1,0))</f>
        <v>Consolidado</v>
      </c>
      <c r="D35" t="str">
        <f>IFERROR(INDEX(CATALOGOS!$H$3:$H$6,MATCH(C35,CATALOGOS!$G$3:$G$6,0)),"")</f>
        <v>Microciclo</v>
      </c>
      <c r="E35" t="str">
        <f>IFERROR(INDEX(CATALOGOS!$I$3:$I$6,MATCH(C35,CATALOGOS!$G$3:$G$6,0)),"")</f>
        <v>Mantener / perfeccionar</v>
      </c>
    </row>
    <row r="36" spans="1:5" x14ac:dyDescent="0.2">
      <c r="A36" t="s">
        <v>1</v>
      </c>
      <c r="B36" t="s">
        <v>13</v>
      </c>
      <c r="C36" t="str">
        <f>INDEX(NORMATIVOS!$C$12:$Z$12,1,MATCH($B$3,NORMATIVOS!$C$1:$Z$1,0))</f>
        <v>Consolidado</v>
      </c>
      <c r="D36" t="str">
        <f>IFERROR(INDEX(CATALOGOS!$H$3:$H$6,MATCH(C36,CATALOGOS!$G$3:$G$6,0)),"")</f>
        <v>Microciclo</v>
      </c>
      <c r="E36" t="str">
        <f>IFERROR(INDEX(CATALOGOS!$I$3:$I$6,MATCH(C36,CATALOGOS!$G$3:$G$6,0)),"")</f>
        <v>Mantener / perfeccionar</v>
      </c>
    </row>
    <row r="37" spans="1:5" x14ac:dyDescent="0.2">
      <c r="A37" t="s">
        <v>1</v>
      </c>
      <c r="B37" t="s">
        <v>14</v>
      </c>
      <c r="C37" t="str">
        <f>INDEX(NORMATIVOS!$C$13:$Z$13,1,MATCH($B$3,NORMATIVOS!$C$1:$Z$1,0))</f>
        <v>Consolidado</v>
      </c>
      <c r="D37" t="str">
        <f>IFERROR(INDEX(CATALOGOS!$H$3:$H$6,MATCH(C37,CATALOGOS!$G$3:$G$6,0)),"")</f>
        <v>Microciclo</v>
      </c>
      <c r="E37" t="str">
        <f>IFERROR(INDEX(CATALOGOS!$I$3:$I$6,MATCH(C37,CATALOGOS!$G$3:$G$6,0)),"")</f>
        <v>Mantener / perfeccionar</v>
      </c>
    </row>
    <row r="38" spans="1:5" x14ac:dyDescent="0.2">
      <c r="A38" t="s">
        <v>1</v>
      </c>
      <c r="B38" t="s">
        <v>15</v>
      </c>
      <c r="C38" t="str">
        <f>INDEX(NORMATIVOS!$C$14:$Z$14,1,MATCH($B$3,NORMATIVOS!$C$1:$Z$1,0))</f>
        <v>Consolidado</v>
      </c>
      <c r="D38" t="str">
        <f>IFERROR(INDEX(CATALOGOS!$H$3:$H$6,MATCH(C38,CATALOGOS!$G$3:$G$6,0)),"")</f>
        <v>Microciclo</v>
      </c>
      <c r="E38" t="str">
        <f>IFERROR(INDEX(CATALOGOS!$I$3:$I$6,MATCH(C38,CATALOGOS!$G$3:$G$6,0)),"")</f>
        <v>Mantener / perfeccionar</v>
      </c>
    </row>
    <row r="39" spans="1:5" x14ac:dyDescent="0.2">
      <c r="A39" t="s">
        <v>1</v>
      </c>
      <c r="B39" t="s">
        <v>16</v>
      </c>
      <c r="C39" t="str">
        <f>INDEX(NORMATIVOS!$C$15:$Z$15,1,MATCH($B$3,NORMATIVOS!$C$1:$Z$1,0))</f>
        <v>En proceso</v>
      </c>
      <c r="D39" t="str">
        <f>IFERROR(INDEX(CATALOGOS!$H$3:$H$6,MATCH(C39,CATALOGOS!$G$3:$G$6,0)),"")</f>
        <v>Mesociclo</v>
      </c>
      <c r="E39" t="str">
        <f>IFERROR(INDEX(CATALOGOS!$I$3:$I$6,MATCH(C39,CATALOGOS!$G$3:$G$6,0)),"")</f>
        <v>Desarrollar / consolidar</v>
      </c>
    </row>
    <row r="40" spans="1:5" x14ac:dyDescent="0.2">
      <c r="A40" t="s">
        <v>1</v>
      </c>
      <c r="B40" t="s">
        <v>17</v>
      </c>
      <c r="C40" t="str">
        <f>INDEX(NORMATIVOS!$C$16:$Z$16,1,MATCH($B$3,NORMATIVOS!$C$1:$Z$1,0))</f>
        <v>En proceso</v>
      </c>
      <c r="D40" t="str">
        <f>IFERROR(INDEX(CATALOGOS!$H$3:$H$6,MATCH(C40,CATALOGOS!$G$3:$G$6,0)),"")</f>
        <v>Mesociclo</v>
      </c>
      <c r="E40" t="str">
        <f>IFERROR(INDEX(CATALOGOS!$I$3:$I$6,MATCH(C40,CATALOGOS!$G$3:$G$6,0)),"")</f>
        <v>Desarrollar / consolidar</v>
      </c>
    </row>
    <row r="41" spans="1:5" x14ac:dyDescent="0.2">
      <c r="A41" t="s">
        <v>271</v>
      </c>
      <c r="B41" t="s">
        <v>292</v>
      </c>
      <c r="C41" t="str">
        <f>INDEX(NORMATIVOS!$C$17:$Z$17,1,MATCH($B$3,NORMATIVOS!$C$1:$Z$1,0))</f>
        <v>Consolidado</v>
      </c>
      <c r="D41" t="str">
        <f>IFERROR(INDEX(CATALOGOS!$H$3:$H$6,MATCH(C41,CATALOGOS!$G$3:$G$6,0)),"")</f>
        <v>Microciclo</v>
      </c>
      <c r="E41" t="str">
        <f>IFERROR(INDEX(CATALOGOS!$I$3:$I$6,MATCH(C41,CATALOGOS!$G$3:$G$6,0)),"")</f>
        <v>Mantener / perfeccionar</v>
      </c>
    </row>
    <row r="42" spans="1:5" x14ac:dyDescent="0.2">
      <c r="A42" t="s">
        <v>271</v>
      </c>
      <c r="B42" t="s">
        <v>20</v>
      </c>
      <c r="C42" t="str">
        <f>INDEX(NORMATIVOS!$C$18:$Z$18,1,MATCH($B$3,NORMATIVOS!$C$1:$Z$1,0))</f>
        <v>Consolidado</v>
      </c>
      <c r="D42" t="str">
        <f>IFERROR(INDEX(CATALOGOS!$H$3:$H$6,MATCH(C42,CATALOGOS!$G$3:$G$6,0)),"")</f>
        <v>Microciclo</v>
      </c>
      <c r="E42" t="str">
        <f>IFERROR(INDEX(CATALOGOS!$I$3:$I$6,MATCH(C42,CATALOGOS!$G$3:$G$6,0)),"")</f>
        <v>Mantener / perfeccionar</v>
      </c>
    </row>
    <row r="43" spans="1:5" x14ac:dyDescent="0.2">
      <c r="A43" t="s">
        <v>271</v>
      </c>
      <c r="B43" t="s">
        <v>21</v>
      </c>
      <c r="C43" t="str">
        <f>INDEX(NORMATIVOS!$C$19:$Z$19,1,MATCH($B$3,NORMATIVOS!$C$1:$Z$1,0))</f>
        <v>Consolidado</v>
      </c>
      <c r="D43" t="str">
        <f>IFERROR(INDEX(CATALOGOS!$H$3:$H$6,MATCH(C43,CATALOGOS!$G$3:$G$6,0)),"")</f>
        <v>Microciclo</v>
      </c>
      <c r="E43" t="str">
        <f>IFERROR(INDEX(CATALOGOS!$I$3:$I$6,MATCH(C43,CATALOGOS!$G$3:$G$6,0)),"")</f>
        <v>Mantener / perfeccionar</v>
      </c>
    </row>
    <row r="44" spans="1:5" x14ac:dyDescent="0.2">
      <c r="A44" t="s">
        <v>271</v>
      </c>
      <c r="B44" t="s">
        <v>22</v>
      </c>
      <c r="C44" t="str">
        <f>INDEX(NORMATIVOS!$C$20:$Z$20,1,MATCH($B$3,NORMATIVOS!$C$1:$Z$1,0))</f>
        <v>Consolidado</v>
      </c>
      <c r="D44" t="str">
        <f>IFERROR(INDEX(CATALOGOS!$H$3:$H$6,MATCH(C44,CATALOGOS!$G$3:$G$6,0)),"")</f>
        <v>Microciclo</v>
      </c>
      <c r="E44" t="str">
        <f>IFERROR(INDEX(CATALOGOS!$I$3:$I$6,MATCH(C44,CATALOGOS!$G$3:$G$6,0)),"")</f>
        <v>Mantener / perfeccionar</v>
      </c>
    </row>
    <row r="45" spans="1:5" x14ac:dyDescent="0.2">
      <c r="A45" t="s">
        <v>271</v>
      </c>
      <c r="B45" t="s">
        <v>23</v>
      </c>
      <c r="C45" t="str">
        <f>INDEX(NORMATIVOS!$C$21:$Z$21,1,MATCH($B$3,NORMATIVOS!$C$1:$Z$1,0))</f>
        <v>Consolidado</v>
      </c>
      <c r="D45" t="str">
        <f>IFERROR(INDEX(CATALOGOS!$H$3:$H$6,MATCH(C45,CATALOGOS!$G$3:$G$6,0)),"")</f>
        <v>Microciclo</v>
      </c>
      <c r="E45" t="str">
        <f>IFERROR(INDEX(CATALOGOS!$I$3:$I$6,MATCH(C45,CATALOGOS!$G$3:$G$6,0)),"")</f>
        <v>Mantener / perfeccionar</v>
      </c>
    </row>
    <row r="46" spans="1:5" x14ac:dyDescent="0.2">
      <c r="A46" t="s">
        <v>271</v>
      </c>
      <c r="B46" t="s">
        <v>24</v>
      </c>
      <c r="C46" t="str">
        <f>INDEX(NORMATIVOS!$C$22:$Z$22,1,MATCH($B$3,NORMATIVOS!$C$1:$Z$1,0))</f>
        <v>Consolidado</v>
      </c>
      <c r="D46" t="str">
        <f>IFERROR(INDEX(CATALOGOS!$H$3:$H$6,MATCH(C46,CATALOGOS!$G$3:$G$6,0)),"")</f>
        <v>Microciclo</v>
      </c>
      <c r="E46" t="str">
        <f>IFERROR(INDEX(CATALOGOS!$I$3:$I$6,MATCH(C46,CATALOGOS!$G$3:$G$6,0)),"")</f>
        <v>Mantener / perfeccionar</v>
      </c>
    </row>
    <row r="47" spans="1:5" x14ac:dyDescent="0.2">
      <c r="A47" t="s">
        <v>271</v>
      </c>
      <c r="B47" t="s">
        <v>293</v>
      </c>
      <c r="C47" t="str">
        <f>INDEX(NORMATIVOS!$C$23:$Z$23,1,MATCH($B$3,NORMATIVOS!$C$1:$Z$1,0))</f>
        <v>Consolidado</v>
      </c>
      <c r="D47" t="str">
        <f>IFERROR(INDEX(CATALOGOS!$H$3:$H$6,MATCH(C47,CATALOGOS!$G$3:$G$6,0)),"")</f>
        <v>Microciclo</v>
      </c>
      <c r="E47" t="str">
        <f>IFERROR(INDEX(CATALOGOS!$I$3:$I$6,MATCH(C47,CATALOGOS!$G$3:$G$6,0)),"")</f>
        <v>Mantener / perfeccionar</v>
      </c>
    </row>
    <row r="48" spans="1:5" x14ac:dyDescent="0.2">
      <c r="A48" t="s">
        <v>271</v>
      </c>
      <c r="B48" t="s">
        <v>26</v>
      </c>
      <c r="C48" t="str">
        <f>INDEX(NORMATIVOS!$C$24:$Z$24,1,MATCH($B$3,NORMATIVOS!$C$1:$Z$1,0))</f>
        <v>En proceso</v>
      </c>
      <c r="D48" t="str">
        <f>IFERROR(INDEX(CATALOGOS!$H$3:$H$6,MATCH(C48,CATALOGOS!$G$3:$G$6,0)),"")</f>
        <v>Mesociclo</v>
      </c>
      <c r="E48" t="str">
        <f>IFERROR(INDEX(CATALOGOS!$I$3:$I$6,MATCH(C48,CATALOGOS!$G$3:$G$6,0)),"")</f>
        <v>Desarrollar / consolidar</v>
      </c>
    </row>
    <row r="49" spans="1:5" x14ac:dyDescent="0.2">
      <c r="A49" t="s">
        <v>271</v>
      </c>
      <c r="B49" t="s">
        <v>27</v>
      </c>
      <c r="C49" t="str">
        <f>INDEX(NORMATIVOS!$C$25:$Z$25,1,MATCH($B$3,NORMATIVOS!$C$1:$Z$1,0))</f>
        <v>En proceso</v>
      </c>
      <c r="D49" t="str">
        <f>IFERROR(INDEX(CATALOGOS!$H$3:$H$6,MATCH(C49,CATALOGOS!$G$3:$G$6,0)),"")</f>
        <v>Mesociclo</v>
      </c>
      <c r="E49" t="str">
        <f>IFERROR(INDEX(CATALOGOS!$I$3:$I$6,MATCH(C49,CATALOGOS!$G$3:$G$6,0)),"")</f>
        <v>Desarrollar / consolidar</v>
      </c>
    </row>
    <row r="50" spans="1:5" x14ac:dyDescent="0.2">
      <c r="A50" t="s">
        <v>271</v>
      </c>
      <c r="B50" t="s">
        <v>28</v>
      </c>
      <c r="C50" t="str">
        <f>INDEX(NORMATIVOS!$C$26:$Z$26,1,MATCH($B$3,NORMATIVOS!$C$1:$Z$1,0))</f>
        <v>Consolidado</v>
      </c>
      <c r="D50" t="str">
        <f>IFERROR(INDEX(CATALOGOS!$H$3:$H$6,MATCH(C50,CATALOGOS!$G$3:$G$6,0)),"")</f>
        <v>Microciclo</v>
      </c>
      <c r="E50" t="str">
        <f>IFERROR(INDEX(CATALOGOS!$I$3:$I$6,MATCH(C50,CATALOGOS!$G$3:$G$6,0)),"")</f>
        <v>Mantener / perfeccionar</v>
      </c>
    </row>
    <row r="51" spans="1:5" x14ac:dyDescent="0.2">
      <c r="A51" t="s">
        <v>271</v>
      </c>
      <c r="B51" t="s">
        <v>294</v>
      </c>
      <c r="C51" t="str">
        <f>INDEX(NORMATIVOS!$C$27:$Z$27,1,MATCH($B$3,NORMATIVOS!$C$1:$Z$1,0))</f>
        <v>Proyección</v>
      </c>
      <c r="D51" t="str">
        <f>IFERROR(INDEX(CATALOGOS!$H$3:$H$6,MATCH(C51,CATALOGOS!$G$3:$G$6,0)),"")</f>
        <v>Macrociclo</v>
      </c>
      <c r="E51" t="str">
        <f>IFERROR(INDEX(CATALOGOS!$I$3:$I$6,MATCH(C51,CATALOGOS!$G$3:$G$6,0)),"")</f>
        <v>Iniciar / aprender</v>
      </c>
    </row>
    <row r="52" spans="1:5" x14ac:dyDescent="0.2">
      <c r="A52" t="s">
        <v>274</v>
      </c>
      <c r="B52" t="s">
        <v>31</v>
      </c>
      <c r="C52" t="str">
        <f>INDEX(NORMATIVOS!$C$28:$Z$28,1,MATCH($B$3,NORMATIVOS!$C$1:$Z$1,0))</f>
        <v>Consolidado</v>
      </c>
      <c r="D52" t="str">
        <f>IFERROR(INDEX(CATALOGOS!$H$3:$H$6,MATCH(C52,CATALOGOS!$G$3:$G$6,0)),"")</f>
        <v>Microciclo</v>
      </c>
      <c r="E52" t="str">
        <f>IFERROR(INDEX(CATALOGOS!$I$3:$I$6,MATCH(C52,CATALOGOS!$G$3:$G$6,0)),"")</f>
        <v>Mantener / perfeccionar</v>
      </c>
    </row>
    <row r="53" spans="1:5" x14ac:dyDescent="0.2">
      <c r="A53" t="s">
        <v>274</v>
      </c>
      <c r="B53" t="s">
        <v>32</v>
      </c>
      <c r="C53" t="str">
        <f>INDEX(NORMATIVOS!$C$29:$Z$29,1,MATCH($B$3,NORMATIVOS!$C$1:$Z$1,0))</f>
        <v>Consolidado</v>
      </c>
      <c r="D53" t="str">
        <f>IFERROR(INDEX(CATALOGOS!$H$3:$H$6,MATCH(C53,CATALOGOS!$G$3:$G$6,0)),"")</f>
        <v>Microciclo</v>
      </c>
      <c r="E53" t="str">
        <f>IFERROR(INDEX(CATALOGOS!$I$3:$I$6,MATCH(C53,CATALOGOS!$G$3:$G$6,0)),"")</f>
        <v>Mantener / perfeccionar</v>
      </c>
    </row>
    <row r="54" spans="1:5" x14ac:dyDescent="0.2">
      <c r="A54" t="s">
        <v>274</v>
      </c>
      <c r="B54" t="s">
        <v>33</v>
      </c>
      <c r="C54" t="str">
        <f>INDEX(NORMATIVOS!$C$30:$Z$30,1,MATCH($B$3,NORMATIVOS!$C$1:$Z$1,0))</f>
        <v>En proceso</v>
      </c>
      <c r="D54" t="str">
        <f>IFERROR(INDEX(CATALOGOS!$H$3:$H$6,MATCH(C54,CATALOGOS!$G$3:$G$6,0)),"")</f>
        <v>Mesociclo</v>
      </c>
      <c r="E54" t="str">
        <f>IFERROR(INDEX(CATALOGOS!$I$3:$I$6,MATCH(C54,CATALOGOS!$G$3:$G$6,0)),"")</f>
        <v>Desarrollar / consolidar</v>
      </c>
    </row>
    <row r="55" spans="1:5" x14ac:dyDescent="0.2">
      <c r="A55" t="s">
        <v>274</v>
      </c>
      <c r="B55" t="s">
        <v>34</v>
      </c>
      <c r="C55" t="str">
        <f>INDEX(NORMATIVOS!$C$31:$Z$31,1,MATCH($B$3,NORMATIVOS!$C$1:$Z$1,0))</f>
        <v>En proceso</v>
      </c>
      <c r="D55" t="str">
        <f>IFERROR(INDEX(CATALOGOS!$H$3:$H$6,MATCH(C55,CATALOGOS!$G$3:$G$6,0)),"")</f>
        <v>Mesociclo</v>
      </c>
      <c r="E55" t="str">
        <f>IFERROR(INDEX(CATALOGOS!$I$3:$I$6,MATCH(C55,CATALOGOS!$G$3:$G$6,0)),"")</f>
        <v>Desarrollar / consolidar</v>
      </c>
    </row>
    <row r="56" spans="1:5" x14ac:dyDescent="0.2">
      <c r="A56" t="s">
        <v>274</v>
      </c>
      <c r="B56" t="s">
        <v>35</v>
      </c>
      <c r="C56" t="str">
        <f>INDEX(NORMATIVOS!$C$32:$Z$32,1,MATCH($B$3,NORMATIVOS!$C$1:$Z$1,0))</f>
        <v>Consolidado</v>
      </c>
      <c r="D56" t="str">
        <f>IFERROR(INDEX(CATALOGOS!$H$3:$H$6,MATCH(C56,CATALOGOS!$G$3:$G$6,0)),"")</f>
        <v>Microciclo</v>
      </c>
      <c r="E56" t="str">
        <f>IFERROR(INDEX(CATALOGOS!$I$3:$I$6,MATCH(C56,CATALOGOS!$G$3:$G$6,0)),"")</f>
        <v>Mantener / perfeccionar</v>
      </c>
    </row>
    <row r="57" spans="1:5" x14ac:dyDescent="0.2">
      <c r="A57" t="s">
        <v>274</v>
      </c>
      <c r="B57" t="s">
        <v>36</v>
      </c>
      <c r="C57" t="str">
        <f>INDEX(NORMATIVOS!$C$33:$Z$33,1,MATCH($B$3,NORMATIVOS!$C$1:$Z$1,0))</f>
        <v>En proceso</v>
      </c>
      <c r="D57" t="str">
        <f>IFERROR(INDEX(CATALOGOS!$H$3:$H$6,MATCH(C57,CATALOGOS!$G$3:$G$6,0)),"")</f>
        <v>Mesociclo</v>
      </c>
      <c r="E57" t="str">
        <f>IFERROR(INDEX(CATALOGOS!$I$3:$I$6,MATCH(C57,CATALOGOS!$G$3:$G$6,0)),"")</f>
        <v>Desarrollar / consolidar</v>
      </c>
    </row>
    <row r="58" spans="1:5" x14ac:dyDescent="0.2">
      <c r="A58" t="s">
        <v>274</v>
      </c>
      <c r="B58" t="s">
        <v>37</v>
      </c>
      <c r="C58" t="str">
        <f>INDEX(NORMATIVOS!$C$34:$Z$34,1,MATCH($B$3,NORMATIVOS!$C$1:$Z$1,0))</f>
        <v>En proceso</v>
      </c>
      <c r="D58" t="str">
        <f>IFERROR(INDEX(CATALOGOS!$H$3:$H$6,MATCH(C58,CATALOGOS!$G$3:$G$6,0)),"")</f>
        <v>Mesociclo</v>
      </c>
      <c r="E58" t="str">
        <f>IFERROR(INDEX(CATALOGOS!$I$3:$I$6,MATCH(C58,CATALOGOS!$G$3:$G$6,0)),"")</f>
        <v>Desarrollar / consolidar</v>
      </c>
    </row>
    <row r="59" spans="1:5" x14ac:dyDescent="0.2">
      <c r="A59" t="s">
        <v>274</v>
      </c>
      <c r="B59" t="s">
        <v>38</v>
      </c>
      <c r="C59" t="str">
        <f>INDEX(NORMATIVOS!$C$35:$Z$35,1,MATCH($B$3,NORMATIVOS!$C$1:$Z$1,0))</f>
        <v>En proceso</v>
      </c>
      <c r="D59" t="str">
        <f>IFERROR(INDEX(CATALOGOS!$H$3:$H$6,MATCH(C59,CATALOGOS!$G$3:$G$6,0)),"")</f>
        <v>Mesociclo</v>
      </c>
      <c r="E59" t="str">
        <f>IFERROR(INDEX(CATALOGOS!$I$3:$I$6,MATCH(C59,CATALOGOS!$G$3:$G$6,0)),"")</f>
        <v>Desarrollar / consolidar</v>
      </c>
    </row>
    <row r="60" spans="1:5" x14ac:dyDescent="0.2">
      <c r="A60" t="s">
        <v>274</v>
      </c>
      <c r="B60" t="s">
        <v>39</v>
      </c>
      <c r="C60" t="str">
        <f>INDEX(NORMATIVOS!$C$36:$Z$36,1,MATCH($B$3,NORMATIVOS!$C$1:$Z$1,0))</f>
        <v>En proceso</v>
      </c>
      <c r="D60" t="str">
        <f>IFERROR(INDEX(CATALOGOS!$H$3:$H$6,MATCH(C60,CATALOGOS!$G$3:$G$6,0)),"")</f>
        <v>Mesociclo</v>
      </c>
      <c r="E60" t="str">
        <f>IFERROR(INDEX(CATALOGOS!$I$3:$I$6,MATCH(C60,CATALOGOS!$G$3:$G$6,0)),"")</f>
        <v>Desarrollar / consolidar</v>
      </c>
    </row>
    <row r="61" spans="1:5" x14ac:dyDescent="0.2">
      <c r="A61" t="s">
        <v>274</v>
      </c>
      <c r="B61" t="s">
        <v>40</v>
      </c>
      <c r="C61" t="str">
        <f>INDEX(NORMATIVOS!$C$37:$Z$37,1,MATCH($B$3,NORMATIVOS!$C$1:$Z$1,0))</f>
        <v>Proyección</v>
      </c>
      <c r="D61" t="str">
        <f>IFERROR(INDEX(CATALOGOS!$H$3:$H$6,MATCH(C61,CATALOGOS!$G$3:$G$6,0)),"")</f>
        <v>Macrociclo</v>
      </c>
      <c r="E61" t="str">
        <f>IFERROR(INDEX(CATALOGOS!$I$3:$I$6,MATCH(C61,CATALOGOS!$G$3:$G$6,0)),"")</f>
        <v>Iniciar / aprender</v>
      </c>
    </row>
    <row r="62" spans="1:5" x14ac:dyDescent="0.2">
      <c r="A62" t="s">
        <v>276</v>
      </c>
      <c r="B62" t="s">
        <v>42</v>
      </c>
      <c r="C62" t="str">
        <f>INDEX(NORMATIVOS!$C$38:$Z$38,1,MATCH($B$3,NORMATIVOS!$C$1:$Z$1,0))</f>
        <v>En proceso</v>
      </c>
      <c r="D62" t="str">
        <f>IFERROR(INDEX(CATALOGOS!$H$3:$H$6,MATCH(C62,CATALOGOS!$G$3:$G$6,0)),"")</f>
        <v>Mesociclo</v>
      </c>
      <c r="E62" t="str">
        <f>IFERROR(INDEX(CATALOGOS!$I$3:$I$6,MATCH(C62,CATALOGOS!$G$3:$G$6,0)),"")</f>
        <v>Desarrollar / consolidar</v>
      </c>
    </row>
    <row r="63" spans="1:5" x14ac:dyDescent="0.2">
      <c r="A63" t="s">
        <v>276</v>
      </c>
      <c r="B63" t="s">
        <v>43</v>
      </c>
      <c r="C63" t="str">
        <f>INDEX(NORMATIVOS!$C$39:$Z$39,1,MATCH($B$3,NORMATIVOS!$C$1:$Z$1,0))</f>
        <v>En proceso</v>
      </c>
      <c r="D63" t="str">
        <f>IFERROR(INDEX(CATALOGOS!$H$3:$H$6,MATCH(C63,CATALOGOS!$G$3:$G$6,0)),"")</f>
        <v>Mesociclo</v>
      </c>
      <c r="E63" t="str">
        <f>IFERROR(INDEX(CATALOGOS!$I$3:$I$6,MATCH(C63,CATALOGOS!$G$3:$G$6,0)),"")</f>
        <v>Desarrollar / consolidar</v>
      </c>
    </row>
    <row r="64" spans="1:5" x14ac:dyDescent="0.2">
      <c r="A64" t="s">
        <v>276</v>
      </c>
      <c r="B64" t="s">
        <v>44</v>
      </c>
      <c r="C64" t="str">
        <f>INDEX(NORMATIVOS!$C$40:$Z$40,1,MATCH($B$3,NORMATIVOS!$C$1:$Z$1,0))</f>
        <v>En proceso</v>
      </c>
      <c r="D64" t="str">
        <f>IFERROR(INDEX(CATALOGOS!$H$3:$H$6,MATCH(C64,CATALOGOS!$G$3:$G$6,0)),"")</f>
        <v>Mesociclo</v>
      </c>
      <c r="E64" t="str">
        <f>IFERROR(INDEX(CATALOGOS!$I$3:$I$6,MATCH(C64,CATALOGOS!$G$3:$G$6,0)),"")</f>
        <v>Desarrollar / consolidar</v>
      </c>
    </row>
    <row r="65" spans="1:5" x14ac:dyDescent="0.2">
      <c r="A65" t="s">
        <v>276</v>
      </c>
      <c r="B65" t="s">
        <v>45</v>
      </c>
      <c r="C65" t="str">
        <f>INDEX(NORMATIVOS!$C$41:$Z$41,1,MATCH($B$3,NORMATIVOS!$C$1:$Z$1,0))</f>
        <v>En proceso</v>
      </c>
      <c r="D65" t="str">
        <f>IFERROR(INDEX(CATALOGOS!$H$3:$H$6,MATCH(C65,CATALOGOS!$G$3:$G$6,0)),"")</f>
        <v>Mesociclo</v>
      </c>
      <c r="E65" t="str">
        <f>IFERROR(INDEX(CATALOGOS!$I$3:$I$6,MATCH(C65,CATALOGOS!$G$3:$G$6,0)),"")</f>
        <v>Desarrollar / consolidar</v>
      </c>
    </row>
    <row r="66" spans="1:5" x14ac:dyDescent="0.2">
      <c r="A66" t="s">
        <v>276</v>
      </c>
      <c r="B66" t="s">
        <v>46</v>
      </c>
      <c r="C66" t="str">
        <f>INDEX(NORMATIVOS!$C$42:$Z$42,1,MATCH($B$3,NORMATIVOS!$C$1:$Z$1,0))</f>
        <v>N/A</v>
      </c>
      <c r="D66" t="str">
        <f>IFERROR(INDEX(CATALOGOS!$H$3:$H$6,MATCH(C66,CATALOGOS!$G$3:$G$6,0)),"")</f>
        <v>No aplica</v>
      </c>
      <c r="E66" t="str">
        <f>IFERROR(INDEX(CATALOGOS!$I$3:$I$6,MATCH(C66,CATALOGOS!$G$3:$G$6,0)),"")</f>
        <v>Sin carga</v>
      </c>
    </row>
    <row r="67" spans="1:5" x14ac:dyDescent="0.2">
      <c r="A67" t="s">
        <v>276</v>
      </c>
      <c r="B67" t="s">
        <v>47</v>
      </c>
      <c r="C67" t="str">
        <f>INDEX(NORMATIVOS!$C$43:$Z$43,1,MATCH($B$3,NORMATIVOS!$C$1:$Z$1,0))</f>
        <v>En proceso</v>
      </c>
      <c r="D67" t="str">
        <f>IFERROR(INDEX(CATALOGOS!$H$3:$H$6,MATCH(C67,CATALOGOS!$G$3:$G$6,0)),"")</f>
        <v>Mesociclo</v>
      </c>
      <c r="E67" t="str">
        <f>IFERROR(INDEX(CATALOGOS!$I$3:$I$6,MATCH(C67,CATALOGOS!$G$3:$G$6,0)),"")</f>
        <v>Desarrollar / consolidar</v>
      </c>
    </row>
    <row r="68" spans="1:5" x14ac:dyDescent="0.2">
      <c r="A68" t="s">
        <v>276</v>
      </c>
      <c r="B68" t="s">
        <v>48</v>
      </c>
      <c r="C68" t="str">
        <f>INDEX(NORMATIVOS!$C$44:$Z$44,1,MATCH($B$3,NORMATIVOS!$C$1:$Z$1,0))</f>
        <v>En proceso</v>
      </c>
      <c r="D68" t="str">
        <f>IFERROR(INDEX(CATALOGOS!$H$3:$H$6,MATCH(C68,CATALOGOS!$G$3:$G$6,0)),"")</f>
        <v>Mesociclo</v>
      </c>
      <c r="E68" t="str">
        <f>IFERROR(INDEX(CATALOGOS!$I$3:$I$6,MATCH(C68,CATALOGOS!$G$3:$G$6,0)),"")</f>
        <v>Desarrollar / consolidar</v>
      </c>
    </row>
    <row r="69" spans="1:5" x14ac:dyDescent="0.2">
      <c r="A69" t="s">
        <v>276</v>
      </c>
      <c r="B69" t="s">
        <v>49</v>
      </c>
      <c r="C69" t="str">
        <f>INDEX(NORMATIVOS!$C$45:$Z$45,1,MATCH($B$3,NORMATIVOS!$C$1:$Z$1,0))</f>
        <v>En proceso</v>
      </c>
      <c r="D69" t="str">
        <f>IFERROR(INDEX(CATALOGOS!$H$3:$H$6,MATCH(C69,CATALOGOS!$G$3:$G$6,0)),"")</f>
        <v>Mesociclo</v>
      </c>
      <c r="E69" t="str">
        <f>IFERROR(INDEX(CATALOGOS!$I$3:$I$6,MATCH(C69,CATALOGOS!$G$3:$G$6,0)),"")</f>
        <v>Desarrollar / consolidar</v>
      </c>
    </row>
    <row r="70" spans="1:5" x14ac:dyDescent="0.2">
      <c r="A70" t="s">
        <v>276</v>
      </c>
      <c r="B70" t="s">
        <v>50</v>
      </c>
      <c r="C70" t="str">
        <f>INDEX(NORMATIVOS!$C$46:$Z$46,1,MATCH($B$3,NORMATIVOS!$C$1:$Z$1,0))</f>
        <v>En proceso</v>
      </c>
      <c r="D70" t="str">
        <f>IFERROR(INDEX(CATALOGOS!$H$3:$H$6,MATCH(C70,CATALOGOS!$G$3:$G$6,0)),"")</f>
        <v>Mesociclo</v>
      </c>
      <c r="E70" t="str">
        <f>IFERROR(INDEX(CATALOGOS!$I$3:$I$6,MATCH(C70,CATALOGOS!$G$3:$G$6,0)),"")</f>
        <v>Desarrollar / consolidar</v>
      </c>
    </row>
    <row r="71" spans="1:5" x14ac:dyDescent="0.2">
      <c r="A71" t="s">
        <v>52</v>
      </c>
      <c r="B71" t="s">
        <v>53</v>
      </c>
      <c r="C71" t="str">
        <f>INDEX(NORMATIVOS!$C$49:$Z$49,1,MATCH($B$3,NORMATIVOS!$C$1:$Z$1,0))</f>
        <v>Consolidado</v>
      </c>
      <c r="D71" t="str">
        <f>IFERROR(INDEX(CATALOGOS!$H$3:$H$6,MATCH(C71,CATALOGOS!$G$3:$G$6,0)),"")</f>
        <v>Microciclo</v>
      </c>
      <c r="E71" t="str">
        <f>IFERROR(INDEX(CATALOGOS!$I$3:$I$6,MATCH(C71,CATALOGOS!$G$3:$G$6,0)),"")</f>
        <v>Mantener / perfeccionar</v>
      </c>
    </row>
    <row r="72" spans="1:5" x14ac:dyDescent="0.2">
      <c r="A72" t="s">
        <v>52</v>
      </c>
      <c r="B72" t="s">
        <v>54</v>
      </c>
      <c r="C72" t="str">
        <f>INDEX(NORMATIVOS!$C$50:$Z$50,1,MATCH($B$3,NORMATIVOS!$C$1:$Z$1,0))</f>
        <v>Consolidado</v>
      </c>
      <c r="D72" t="str">
        <f>IFERROR(INDEX(CATALOGOS!$H$3:$H$6,MATCH(C72,CATALOGOS!$G$3:$G$6,0)),"")</f>
        <v>Microciclo</v>
      </c>
      <c r="E72" t="str">
        <f>IFERROR(INDEX(CATALOGOS!$I$3:$I$6,MATCH(C72,CATALOGOS!$G$3:$G$6,0)),"")</f>
        <v>Mantener / perfeccionar</v>
      </c>
    </row>
    <row r="73" spans="1:5" x14ac:dyDescent="0.2">
      <c r="A73" t="s">
        <v>52</v>
      </c>
      <c r="B73" t="s">
        <v>55</v>
      </c>
      <c r="C73" t="str">
        <f>INDEX(NORMATIVOS!$C$51:$Z$51,1,MATCH($B$3,NORMATIVOS!$C$1:$Z$1,0))</f>
        <v>Consolidado</v>
      </c>
      <c r="D73" t="str">
        <f>IFERROR(INDEX(CATALOGOS!$H$3:$H$6,MATCH(C73,CATALOGOS!$G$3:$G$6,0)),"")</f>
        <v>Microciclo</v>
      </c>
      <c r="E73" t="str">
        <f>IFERROR(INDEX(CATALOGOS!$I$3:$I$6,MATCH(C73,CATALOGOS!$G$3:$G$6,0)),"")</f>
        <v>Mantener / perfeccionar</v>
      </c>
    </row>
    <row r="74" spans="1:5" x14ac:dyDescent="0.2">
      <c r="A74" t="s">
        <v>52</v>
      </c>
      <c r="B74" t="s">
        <v>56</v>
      </c>
      <c r="C74" t="str">
        <f>INDEX(NORMATIVOS!$C$52:$Z$52,1,MATCH($B$3,NORMATIVOS!$C$1:$Z$1,0))</f>
        <v>Consolidado</v>
      </c>
      <c r="D74" t="str">
        <f>IFERROR(INDEX(CATALOGOS!$H$3:$H$6,MATCH(C74,CATALOGOS!$G$3:$G$6,0)),"")</f>
        <v>Microciclo</v>
      </c>
      <c r="E74" t="str">
        <f>IFERROR(INDEX(CATALOGOS!$I$3:$I$6,MATCH(C74,CATALOGOS!$G$3:$G$6,0)),"")</f>
        <v>Mantener / perfeccionar</v>
      </c>
    </row>
    <row r="75" spans="1:5" x14ac:dyDescent="0.2">
      <c r="A75" t="s">
        <v>52</v>
      </c>
      <c r="B75" t="s">
        <v>57</v>
      </c>
      <c r="C75" t="str">
        <f>INDEX(NORMATIVOS!$C$53:$Z$53,1,MATCH($B$3,NORMATIVOS!$C$1:$Z$1,0))</f>
        <v>Consolidado</v>
      </c>
      <c r="D75" t="str">
        <f>IFERROR(INDEX(CATALOGOS!$H$3:$H$6,MATCH(C75,CATALOGOS!$G$3:$G$6,0)),"")</f>
        <v>Microciclo</v>
      </c>
      <c r="E75" t="str">
        <f>IFERROR(INDEX(CATALOGOS!$I$3:$I$6,MATCH(C75,CATALOGOS!$G$3:$G$6,0)),"")</f>
        <v>Mantener / perfeccionar</v>
      </c>
    </row>
    <row r="76" spans="1:5" x14ac:dyDescent="0.2">
      <c r="A76" t="s">
        <v>52</v>
      </c>
      <c r="B76" t="s">
        <v>58</v>
      </c>
      <c r="C76" t="str">
        <f>INDEX(NORMATIVOS!$C$54:$Z$54,1,MATCH($B$3,NORMATIVOS!$C$1:$Z$1,0))</f>
        <v>Consolidado</v>
      </c>
      <c r="D76" t="str">
        <f>IFERROR(INDEX(CATALOGOS!$H$3:$H$6,MATCH(C76,CATALOGOS!$G$3:$G$6,0)),"")</f>
        <v>Microciclo</v>
      </c>
      <c r="E76" t="str">
        <f>IFERROR(INDEX(CATALOGOS!$I$3:$I$6,MATCH(C76,CATALOGOS!$G$3:$G$6,0)),"")</f>
        <v>Mantener / perfeccionar</v>
      </c>
    </row>
    <row r="77" spans="1:5" x14ac:dyDescent="0.2">
      <c r="A77" t="s">
        <v>52</v>
      </c>
      <c r="B77" t="s">
        <v>59</v>
      </c>
      <c r="C77" t="str">
        <f>INDEX(NORMATIVOS!$C$55:$Z$55,1,MATCH($B$3,NORMATIVOS!$C$1:$Z$1,0))</f>
        <v>Consolidado</v>
      </c>
      <c r="D77" t="str">
        <f>IFERROR(INDEX(CATALOGOS!$H$3:$H$6,MATCH(C77,CATALOGOS!$G$3:$G$6,0)),"")</f>
        <v>Microciclo</v>
      </c>
      <c r="E77" t="str">
        <f>IFERROR(INDEX(CATALOGOS!$I$3:$I$6,MATCH(C77,CATALOGOS!$G$3:$G$6,0)),"")</f>
        <v>Mantener / perfeccionar</v>
      </c>
    </row>
    <row r="78" spans="1:5" x14ac:dyDescent="0.2">
      <c r="A78" t="s">
        <v>52</v>
      </c>
      <c r="B78" t="s">
        <v>60</v>
      </c>
      <c r="C78" t="str">
        <f>INDEX(NORMATIVOS!$C$56:$Z$56,1,MATCH($B$3,NORMATIVOS!$C$1:$Z$1,0))</f>
        <v>Consolidado</v>
      </c>
      <c r="D78" t="str">
        <f>IFERROR(INDEX(CATALOGOS!$H$3:$H$6,MATCH(C78,CATALOGOS!$G$3:$G$6,0)),"")</f>
        <v>Microciclo</v>
      </c>
      <c r="E78" t="str">
        <f>IFERROR(INDEX(CATALOGOS!$I$3:$I$6,MATCH(C78,CATALOGOS!$G$3:$G$6,0)),"")</f>
        <v>Mantener / perfeccionar</v>
      </c>
    </row>
    <row r="79" spans="1:5" x14ac:dyDescent="0.2">
      <c r="A79" t="s">
        <v>52</v>
      </c>
      <c r="B79" t="s">
        <v>61</v>
      </c>
      <c r="C79" t="str">
        <f>INDEX(NORMATIVOS!$C$57:$Z$57,1,MATCH($B$3,NORMATIVOS!$C$1:$Z$1,0))</f>
        <v>Consolidado</v>
      </c>
      <c r="D79" t="str">
        <f>IFERROR(INDEX(CATALOGOS!$H$3:$H$6,MATCH(C79,CATALOGOS!$G$3:$G$6,0)),"")</f>
        <v>Microciclo</v>
      </c>
      <c r="E79" t="str">
        <f>IFERROR(INDEX(CATALOGOS!$I$3:$I$6,MATCH(C79,CATALOGOS!$G$3:$G$6,0)),"")</f>
        <v>Mantener / perfeccionar</v>
      </c>
    </row>
    <row r="80" spans="1:5" x14ac:dyDescent="0.2">
      <c r="A80" t="s">
        <v>52</v>
      </c>
      <c r="B80" t="s">
        <v>62</v>
      </c>
      <c r="C80" t="str">
        <f>INDEX(NORMATIVOS!$C$58:$Z$58,1,MATCH($B$3,NORMATIVOS!$C$1:$Z$1,0))</f>
        <v>Proyección</v>
      </c>
      <c r="D80" t="str">
        <f>IFERROR(INDEX(CATALOGOS!$H$3:$H$6,MATCH(C80,CATALOGOS!$G$3:$G$6,0)),"")</f>
        <v>Macrociclo</v>
      </c>
      <c r="E80" t="str">
        <f>IFERROR(INDEX(CATALOGOS!$I$3:$I$6,MATCH(C80,CATALOGOS!$G$3:$G$6,0)),"")</f>
        <v>Iniciar / aprender</v>
      </c>
    </row>
    <row r="81" spans="1:5" x14ac:dyDescent="0.2">
      <c r="A81" t="s">
        <v>52</v>
      </c>
      <c r="B81" t="s">
        <v>63</v>
      </c>
      <c r="C81" t="str">
        <f>INDEX(NORMATIVOS!$C$59:$Z$59,1,MATCH($B$3,NORMATIVOS!$C$1:$Z$1,0))</f>
        <v>Consolidado</v>
      </c>
      <c r="D81" t="str">
        <f>IFERROR(INDEX(CATALOGOS!$H$3:$H$6,MATCH(C81,CATALOGOS!$G$3:$G$6,0)),"")</f>
        <v>Microciclo</v>
      </c>
      <c r="E81" t="str">
        <f>IFERROR(INDEX(CATALOGOS!$I$3:$I$6,MATCH(C81,CATALOGOS!$G$3:$G$6,0)),"")</f>
        <v>Mantener / perfeccionar</v>
      </c>
    </row>
    <row r="82" spans="1:5" x14ac:dyDescent="0.2">
      <c r="A82" t="s">
        <v>52</v>
      </c>
      <c r="B82" t="s">
        <v>64</v>
      </c>
      <c r="C82" t="str">
        <f>INDEX(NORMATIVOS!$C$60:$Z$60,1,MATCH($B$3,NORMATIVOS!$C$1:$Z$1,0))</f>
        <v>En proceso</v>
      </c>
      <c r="D82" t="str">
        <f>IFERROR(INDEX(CATALOGOS!$H$3:$H$6,MATCH(C82,CATALOGOS!$G$3:$G$6,0)),"")</f>
        <v>Mesociclo</v>
      </c>
      <c r="E82" t="str">
        <f>IFERROR(INDEX(CATALOGOS!$I$3:$I$6,MATCH(C82,CATALOGOS!$G$3:$G$6,0)),"")</f>
        <v>Desarrollar / consolidar</v>
      </c>
    </row>
    <row r="83" spans="1:5" x14ac:dyDescent="0.2">
      <c r="A83" t="s">
        <v>52</v>
      </c>
      <c r="B83" t="s">
        <v>65</v>
      </c>
      <c r="C83" t="str">
        <f>INDEX(NORMATIVOS!$C$61:$Z$61,1,MATCH($B$3,NORMATIVOS!$C$1:$Z$1,0))</f>
        <v>Consolidado</v>
      </c>
      <c r="D83" t="str">
        <f>IFERROR(INDEX(CATALOGOS!$H$3:$H$6,MATCH(C83,CATALOGOS!$G$3:$G$6,0)),"")</f>
        <v>Microciclo</v>
      </c>
      <c r="E83" t="str">
        <f>IFERROR(INDEX(CATALOGOS!$I$3:$I$6,MATCH(C83,CATALOGOS!$G$3:$G$6,0)),"")</f>
        <v>Mantener / perfeccionar</v>
      </c>
    </row>
    <row r="84" spans="1:5" x14ac:dyDescent="0.2">
      <c r="A84" t="s">
        <v>52</v>
      </c>
      <c r="B84" t="s">
        <v>295</v>
      </c>
      <c r="C84" t="str">
        <f>INDEX(NORMATIVOS!$C$62:$Z$62,1,MATCH($B$3,NORMATIVOS!$C$1:$Z$1,0))</f>
        <v>Consolidado</v>
      </c>
      <c r="D84" t="str">
        <f>IFERROR(INDEX(CATALOGOS!$H$3:$H$6,MATCH(C84,CATALOGOS!$G$3:$G$6,0)),"")</f>
        <v>Microciclo</v>
      </c>
      <c r="E84" t="str">
        <f>IFERROR(INDEX(CATALOGOS!$I$3:$I$6,MATCH(C84,CATALOGOS!$G$3:$G$6,0)),"")</f>
        <v>Mantener / perfeccionar</v>
      </c>
    </row>
    <row r="85" spans="1:5" x14ac:dyDescent="0.2">
      <c r="A85" t="s">
        <v>52</v>
      </c>
      <c r="B85" t="s">
        <v>67</v>
      </c>
      <c r="C85" t="str">
        <f>INDEX(NORMATIVOS!$C$63:$Z$63,1,MATCH($B$3,NORMATIVOS!$C$1:$Z$1,0))</f>
        <v>Consolidado</v>
      </c>
      <c r="D85" t="str">
        <f>IFERROR(INDEX(CATALOGOS!$H$3:$H$6,MATCH(C85,CATALOGOS!$G$3:$G$6,0)),"")</f>
        <v>Microciclo</v>
      </c>
      <c r="E85" t="str">
        <f>IFERROR(INDEX(CATALOGOS!$I$3:$I$6,MATCH(C85,CATALOGOS!$G$3:$G$6,0)),"")</f>
        <v>Mantener / perfeccionar</v>
      </c>
    </row>
    <row r="86" spans="1:5" x14ac:dyDescent="0.2">
      <c r="A86" t="s">
        <v>52</v>
      </c>
      <c r="B86" t="s">
        <v>68</v>
      </c>
      <c r="C86" t="str">
        <f>INDEX(NORMATIVOS!$C$64:$Z$64,1,MATCH($B$3,NORMATIVOS!$C$1:$Z$1,0))</f>
        <v>Proyección</v>
      </c>
      <c r="D86" t="str">
        <f>IFERROR(INDEX(CATALOGOS!$H$3:$H$6,MATCH(C86,CATALOGOS!$G$3:$G$6,0)),"")</f>
        <v>Macrociclo</v>
      </c>
      <c r="E86" t="str">
        <f>IFERROR(INDEX(CATALOGOS!$I$3:$I$6,MATCH(C86,CATALOGOS!$G$3:$G$6,0)),"")</f>
        <v>Iniciar / aprender</v>
      </c>
    </row>
    <row r="87" spans="1:5" x14ac:dyDescent="0.2">
      <c r="A87" t="s">
        <v>69</v>
      </c>
      <c r="B87" t="s">
        <v>70</v>
      </c>
      <c r="C87" t="str">
        <f>INDEX(NORMATIVOS!$C$65:$Z$65,1,MATCH($B$3,NORMATIVOS!$C$1:$Z$1,0))</f>
        <v>Consolidado</v>
      </c>
      <c r="D87" t="str">
        <f>IFERROR(INDEX(CATALOGOS!$H$3:$H$6,MATCH(C87,CATALOGOS!$G$3:$G$6,0)),"")</f>
        <v>Microciclo</v>
      </c>
      <c r="E87" t="str">
        <f>IFERROR(INDEX(CATALOGOS!$I$3:$I$6,MATCH(C87,CATALOGOS!$G$3:$G$6,0)),"")</f>
        <v>Mantener / perfeccionar</v>
      </c>
    </row>
    <row r="88" spans="1:5" x14ac:dyDescent="0.2">
      <c r="A88" t="s">
        <v>69</v>
      </c>
      <c r="B88" t="s">
        <v>71</v>
      </c>
      <c r="C88" t="str">
        <f>INDEX(NORMATIVOS!$C$66:$Z$66,1,MATCH($B$3,NORMATIVOS!$C$1:$Z$1,0))</f>
        <v>Consolidado</v>
      </c>
      <c r="D88" t="str">
        <f>IFERROR(INDEX(CATALOGOS!$H$3:$H$6,MATCH(C88,CATALOGOS!$G$3:$G$6,0)),"")</f>
        <v>Microciclo</v>
      </c>
      <c r="E88" t="str">
        <f>IFERROR(INDEX(CATALOGOS!$I$3:$I$6,MATCH(C88,CATALOGOS!$G$3:$G$6,0)),"")</f>
        <v>Mantener / perfeccionar</v>
      </c>
    </row>
    <row r="89" spans="1:5" x14ac:dyDescent="0.2">
      <c r="A89" t="s">
        <v>69</v>
      </c>
      <c r="B89" t="s">
        <v>64</v>
      </c>
      <c r="C89" t="str">
        <f>INDEX(NORMATIVOS!$C$67:$Z$67,1,MATCH($B$3,NORMATIVOS!$C$1:$Z$1,0))</f>
        <v>Consolidado</v>
      </c>
      <c r="D89" t="str">
        <f>IFERROR(INDEX(CATALOGOS!$H$3:$H$6,MATCH(C89,CATALOGOS!$G$3:$G$6,0)),"")</f>
        <v>Microciclo</v>
      </c>
      <c r="E89" t="str">
        <f>IFERROR(INDEX(CATALOGOS!$I$3:$I$6,MATCH(C89,CATALOGOS!$G$3:$G$6,0)),"")</f>
        <v>Mantener / perfeccionar</v>
      </c>
    </row>
    <row r="90" spans="1:5" x14ac:dyDescent="0.2">
      <c r="A90" t="s">
        <v>69</v>
      </c>
      <c r="B90" t="s">
        <v>72</v>
      </c>
      <c r="C90" t="str">
        <f>INDEX(NORMATIVOS!$C$68:$Z$68,1,MATCH($B$3,NORMATIVOS!$C$1:$Z$1,0))</f>
        <v>Consolidado</v>
      </c>
      <c r="D90" t="str">
        <f>IFERROR(INDEX(CATALOGOS!$H$3:$H$6,MATCH(C90,CATALOGOS!$G$3:$G$6,0)),"")</f>
        <v>Microciclo</v>
      </c>
      <c r="E90" t="str">
        <f>IFERROR(INDEX(CATALOGOS!$I$3:$I$6,MATCH(C90,CATALOGOS!$G$3:$G$6,0)),"")</f>
        <v>Mantener / perfeccionar</v>
      </c>
    </row>
    <row r="91" spans="1:5" x14ac:dyDescent="0.2">
      <c r="A91" t="s">
        <v>69</v>
      </c>
      <c r="B91" t="s">
        <v>73</v>
      </c>
      <c r="C91" t="str">
        <f>INDEX(NORMATIVOS!$C$69:$Z$69,1,MATCH($B$3,NORMATIVOS!$C$1:$Z$1,0))</f>
        <v>Consolidado</v>
      </c>
      <c r="D91" t="str">
        <f>IFERROR(INDEX(CATALOGOS!$H$3:$H$6,MATCH(C91,CATALOGOS!$G$3:$G$6,0)),"")</f>
        <v>Microciclo</v>
      </c>
      <c r="E91" t="str">
        <f>IFERROR(INDEX(CATALOGOS!$I$3:$I$6,MATCH(C91,CATALOGOS!$G$3:$G$6,0)),"")</f>
        <v>Mantener / perfeccionar</v>
      </c>
    </row>
    <row r="92" spans="1:5" x14ac:dyDescent="0.2">
      <c r="A92" t="s">
        <v>69</v>
      </c>
      <c r="B92" t="s">
        <v>62</v>
      </c>
      <c r="C92" t="str">
        <f>INDEX(NORMATIVOS!$C$70:$Z$70,1,MATCH($B$3,NORMATIVOS!$C$1:$Z$1,0))</f>
        <v>Consolidado</v>
      </c>
      <c r="D92" t="str">
        <f>IFERROR(INDEX(CATALOGOS!$H$3:$H$6,MATCH(C92,CATALOGOS!$G$3:$G$6,0)),"")</f>
        <v>Microciclo</v>
      </c>
      <c r="E92" t="str">
        <f>IFERROR(INDEX(CATALOGOS!$I$3:$I$6,MATCH(C92,CATALOGOS!$G$3:$G$6,0)),"")</f>
        <v>Mantener / perfeccionar</v>
      </c>
    </row>
    <row r="93" spans="1:5" x14ac:dyDescent="0.2">
      <c r="A93" t="s">
        <v>69</v>
      </c>
      <c r="B93" t="s">
        <v>65</v>
      </c>
      <c r="C93" t="str">
        <f>INDEX(NORMATIVOS!$C$71:$Z$71,1,MATCH($B$3,NORMATIVOS!$C$1:$Z$1,0))</f>
        <v>Consolidado</v>
      </c>
      <c r="D93" t="str">
        <f>IFERROR(INDEX(CATALOGOS!$H$3:$H$6,MATCH(C93,CATALOGOS!$G$3:$G$6,0)),"")</f>
        <v>Microciclo</v>
      </c>
      <c r="E93" t="str">
        <f>IFERROR(INDEX(CATALOGOS!$I$3:$I$6,MATCH(C93,CATALOGOS!$G$3:$G$6,0)),"")</f>
        <v>Mantener / perfeccionar</v>
      </c>
    </row>
    <row r="94" spans="1:5" x14ac:dyDescent="0.2">
      <c r="A94" t="s">
        <v>69</v>
      </c>
      <c r="B94" t="s">
        <v>295</v>
      </c>
      <c r="C94" t="str">
        <f>INDEX(NORMATIVOS!$C$72:$Z$72,1,MATCH($B$3,NORMATIVOS!$C$1:$Z$1,0))</f>
        <v>En proceso</v>
      </c>
      <c r="D94" t="str">
        <f>IFERROR(INDEX(CATALOGOS!$H$3:$H$6,MATCH(C94,CATALOGOS!$G$3:$G$6,0)),"")</f>
        <v>Mesociclo</v>
      </c>
      <c r="E94" t="str">
        <f>IFERROR(INDEX(CATALOGOS!$I$3:$I$6,MATCH(C94,CATALOGOS!$G$3:$G$6,0)),"")</f>
        <v>Desarrollar / consolidar</v>
      </c>
    </row>
    <row r="95" spans="1:5" x14ac:dyDescent="0.2">
      <c r="A95" t="s">
        <v>69</v>
      </c>
      <c r="B95" t="s">
        <v>74</v>
      </c>
      <c r="C95" t="str">
        <f>INDEX(NORMATIVOS!$C$73:$Z$73,1,MATCH($B$3,NORMATIVOS!$C$1:$Z$1,0))</f>
        <v>Consolidado</v>
      </c>
      <c r="D95" t="str">
        <f>IFERROR(INDEX(CATALOGOS!$H$3:$H$6,MATCH(C95,CATALOGOS!$G$3:$G$6,0)),"")</f>
        <v>Microciclo</v>
      </c>
      <c r="E95" t="str">
        <f>IFERROR(INDEX(CATALOGOS!$I$3:$I$6,MATCH(C95,CATALOGOS!$G$3:$G$6,0)),"")</f>
        <v>Mantener / perfeccionar</v>
      </c>
    </row>
    <row r="96" spans="1:5" x14ac:dyDescent="0.2">
      <c r="A96" t="s">
        <v>69</v>
      </c>
      <c r="B96" t="s">
        <v>75</v>
      </c>
      <c r="C96" t="str">
        <f>INDEX(NORMATIVOS!$C$74:$Z$74,1,MATCH($B$3,NORMATIVOS!$C$1:$Z$1,0))</f>
        <v>Consolidado</v>
      </c>
      <c r="D96" t="str">
        <f>IFERROR(INDEX(CATALOGOS!$H$3:$H$6,MATCH(C96,CATALOGOS!$G$3:$G$6,0)),"")</f>
        <v>Microciclo</v>
      </c>
      <c r="E96" t="str">
        <f>IFERROR(INDEX(CATALOGOS!$I$3:$I$6,MATCH(C96,CATALOGOS!$G$3:$G$6,0)),"")</f>
        <v>Mantener / perfeccionar</v>
      </c>
    </row>
    <row r="97" spans="1:5" x14ac:dyDescent="0.2">
      <c r="A97" t="s">
        <v>69</v>
      </c>
      <c r="B97" t="s">
        <v>68</v>
      </c>
      <c r="C97" t="str">
        <f>INDEX(NORMATIVOS!$C$75:$Z$75,1,MATCH($B$3,NORMATIVOS!$C$1:$Z$1,0))</f>
        <v>En proceso</v>
      </c>
      <c r="D97" t="str">
        <f>IFERROR(INDEX(CATALOGOS!$H$3:$H$6,MATCH(C97,CATALOGOS!$G$3:$G$6,0)),"")</f>
        <v>Mesociclo</v>
      </c>
      <c r="E97" t="str">
        <f>IFERROR(INDEX(CATALOGOS!$I$3:$I$6,MATCH(C97,CATALOGOS!$G$3:$G$6,0)),"")</f>
        <v>Desarrollar / consolidar</v>
      </c>
    </row>
    <row r="98" spans="1:5" x14ac:dyDescent="0.2">
      <c r="A98" t="s">
        <v>69</v>
      </c>
      <c r="B98" t="s">
        <v>76</v>
      </c>
      <c r="C98" t="str">
        <f>INDEX(NORMATIVOS!$C$76:$Z$76,1,MATCH($B$3,NORMATIVOS!$C$1:$Z$1,0))</f>
        <v>Proyección</v>
      </c>
      <c r="D98" t="str">
        <f>IFERROR(INDEX(CATALOGOS!$H$3:$H$6,MATCH(C98,CATALOGOS!$G$3:$G$6,0)),"")</f>
        <v>Macrociclo</v>
      </c>
      <c r="E98" t="str">
        <f>IFERROR(INDEX(CATALOGOS!$I$3:$I$6,MATCH(C98,CATALOGOS!$G$3:$G$6,0)),"")</f>
        <v>Iniciar / aprender</v>
      </c>
    </row>
    <row r="99" spans="1:5" x14ac:dyDescent="0.2">
      <c r="A99" t="s">
        <v>69</v>
      </c>
      <c r="B99" t="s">
        <v>77</v>
      </c>
      <c r="C99" t="str">
        <f>INDEX(NORMATIVOS!$C$77:$Z$77,1,MATCH($B$3,NORMATIVOS!$C$1:$Z$1,0))</f>
        <v>Proyección</v>
      </c>
      <c r="D99" t="str">
        <f>IFERROR(INDEX(CATALOGOS!$H$3:$H$6,MATCH(C99,CATALOGOS!$G$3:$G$6,0)),"")</f>
        <v>Macrociclo</v>
      </c>
      <c r="E99" t="str">
        <f>IFERROR(INDEX(CATALOGOS!$I$3:$I$6,MATCH(C99,CATALOGOS!$G$3:$G$6,0)),"")</f>
        <v>Iniciar / aprender</v>
      </c>
    </row>
    <row r="100" spans="1:5" x14ac:dyDescent="0.2">
      <c r="A100" t="s">
        <v>69</v>
      </c>
      <c r="B100" t="s">
        <v>78</v>
      </c>
      <c r="C100" t="str">
        <f>INDEX(NORMATIVOS!$C$78:$Z$78,1,MATCH($B$3,NORMATIVOS!$C$1:$Z$1,0))</f>
        <v>Proyección</v>
      </c>
      <c r="D100" t="str">
        <f>IFERROR(INDEX(CATALOGOS!$H$3:$H$6,MATCH(C100,CATALOGOS!$G$3:$G$6,0)),"")</f>
        <v>Macrociclo</v>
      </c>
      <c r="E100" t="str">
        <f>IFERROR(INDEX(CATALOGOS!$I$3:$I$6,MATCH(C100,CATALOGOS!$G$3:$G$6,0)),"")</f>
        <v>Iniciar / aprender</v>
      </c>
    </row>
    <row r="101" spans="1:5" x14ac:dyDescent="0.2">
      <c r="A101" t="s">
        <v>79</v>
      </c>
      <c r="B101" t="s">
        <v>80</v>
      </c>
      <c r="C101" t="str">
        <f>INDEX(NORMATIVOS!$C$79:$Z$79,1,MATCH($B$3,NORMATIVOS!$C$1:$Z$1,0))</f>
        <v>Consolidado</v>
      </c>
      <c r="D101" t="str">
        <f>IFERROR(INDEX(CATALOGOS!$H$3:$H$6,MATCH(C101,CATALOGOS!$G$3:$G$6,0)),"")</f>
        <v>Microciclo</v>
      </c>
      <c r="E101" t="str">
        <f>IFERROR(INDEX(CATALOGOS!$I$3:$I$6,MATCH(C101,CATALOGOS!$G$3:$G$6,0)),"")</f>
        <v>Mantener / perfeccionar</v>
      </c>
    </row>
    <row r="102" spans="1:5" x14ac:dyDescent="0.2">
      <c r="A102" t="s">
        <v>79</v>
      </c>
      <c r="B102" t="s">
        <v>81</v>
      </c>
      <c r="C102" t="str">
        <f>INDEX(NORMATIVOS!$C$80:$Z$80,1,MATCH($B$3,NORMATIVOS!$C$1:$Z$1,0))</f>
        <v>Consolidado</v>
      </c>
      <c r="D102" t="str">
        <f>IFERROR(INDEX(CATALOGOS!$H$3:$H$6,MATCH(C102,CATALOGOS!$G$3:$G$6,0)),"")</f>
        <v>Microciclo</v>
      </c>
      <c r="E102" t="str">
        <f>IFERROR(INDEX(CATALOGOS!$I$3:$I$6,MATCH(C102,CATALOGOS!$G$3:$G$6,0)),"")</f>
        <v>Mantener / perfeccionar</v>
      </c>
    </row>
    <row r="103" spans="1:5" x14ac:dyDescent="0.2">
      <c r="A103" t="s">
        <v>79</v>
      </c>
      <c r="B103" t="s">
        <v>82</v>
      </c>
      <c r="C103" t="str">
        <f>INDEX(NORMATIVOS!$C$81:$Z$81,1,MATCH($B$3,NORMATIVOS!$C$1:$Z$1,0))</f>
        <v>Consolidado</v>
      </c>
      <c r="D103" t="str">
        <f>IFERROR(INDEX(CATALOGOS!$H$3:$H$6,MATCH(C103,CATALOGOS!$G$3:$G$6,0)),"")</f>
        <v>Microciclo</v>
      </c>
      <c r="E103" t="str">
        <f>IFERROR(INDEX(CATALOGOS!$I$3:$I$6,MATCH(C103,CATALOGOS!$G$3:$G$6,0)),"")</f>
        <v>Mantener / perfeccionar</v>
      </c>
    </row>
    <row r="104" spans="1:5" x14ac:dyDescent="0.2">
      <c r="A104" t="s">
        <v>79</v>
      </c>
      <c r="B104" t="s">
        <v>83</v>
      </c>
      <c r="C104" t="str">
        <f>INDEX(NORMATIVOS!$C$82:$Z$82,1,MATCH($B$3,NORMATIVOS!$C$1:$Z$1,0))</f>
        <v>En proceso</v>
      </c>
      <c r="D104" t="str">
        <f>IFERROR(INDEX(CATALOGOS!$H$3:$H$6,MATCH(C104,CATALOGOS!$G$3:$G$6,0)),"")</f>
        <v>Mesociclo</v>
      </c>
      <c r="E104" t="str">
        <f>IFERROR(INDEX(CATALOGOS!$I$3:$I$6,MATCH(C104,CATALOGOS!$G$3:$G$6,0)),"")</f>
        <v>Desarrollar / consolidar</v>
      </c>
    </row>
    <row r="105" spans="1:5" x14ac:dyDescent="0.2">
      <c r="A105" t="s">
        <v>79</v>
      </c>
      <c r="B105" t="s">
        <v>296</v>
      </c>
      <c r="C105" t="str">
        <f>INDEX(NORMATIVOS!$C$83:$Z$83,1,MATCH($B$3,NORMATIVOS!$C$1:$Z$1,0))</f>
        <v>En proceso</v>
      </c>
      <c r="D105" t="str">
        <f>IFERROR(INDEX(CATALOGOS!$H$3:$H$6,MATCH(C105,CATALOGOS!$G$3:$G$6,0)),"")</f>
        <v>Mesociclo</v>
      </c>
      <c r="E105" t="str">
        <f>IFERROR(INDEX(CATALOGOS!$I$3:$I$6,MATCH(C105,CATALOGOS!$G$3:$G$6,0)),"")</f>
        <v>Desarrollar / consolidar</v>
      </c>
    </row>
    <row r="106" spans="1:5" x14ac:dyDescent="0.2">
      <c r="A106" t="s">
        <v>79</v>
      </c>
      <c r="B106" t="s">
        <v>85</v>
      </c>
      <c r="C106" t="str">
        <f>INDEX(NORMATIVOS!$C$84:$Z$84,1,MATCH($B$3,NORMATIVOS!$C$1:$Z$1,0))</f>
        <v>Proyección</v>
      </c>
      <c r="D106" t="str">
        <f>IFERROR(INDEX(CATALOGOS!$H$3:$H$6,MATCH(C106,CATALOGOS!$G$3:$G$6,0)),"")</f>
        <v>Macrociclo</v>
      </c>
      <c r="E106" t="str">
        <f>IFERROR(INDEX(CATALOGOS!$I$3:$I$6,MATCH(C106,CATALOGOS!$G$3:$G$6,0)),"")</f>
        <v>Iniciar / aprender</v>
      </c>
    </row>
    <row r="107" spans="1:5" x14ac:dyDescent="0.2">
      <c r="A107" t="s">
        <v>79</v>
      </c>
      <c r="B107" t="s">
        <v>297</v>
      </c>
      <c r="C107" t="str">
        <f>INDEX(NORMATIVOS!$C$85:$Z$85,1,MATCH($B$3,NORMATIVOS!$C$1:$Z$1,0))</f>
        <v>Proyección</v>
      </c>
      <c r="D107" t="str">
        <f>IFERROR(INDEX(CATALOGOS!$H$3:$H$6,MATCH(C107,CATALOGOS!$G$3:$G$6,0)),"")</f>
        <v>Macrociclo</v>
      </c>
      <c r="E107" t="str">
        <f>IFERROR(INDEX(CATALOGOS!$I$3:$I$6,MATCH(C107,CATALOGOS!$G$3:$G$6,0)),"")</f>
        <v>Iniciar / aprender</v>
      </c>
    </row>
    <row r="108" spans="1:5" x14ac:dyDescent="0.2">
      <c r="A108" t="s">
        <v>79</v>
      </c>
      <c r="B108" t="s">
        <v>87</v>
      </c>
      <c r="C108" t="str">
        <f>INDEX(NORMATIVOS!$C$86:$Z$86,1,MATCH($B$3,NORMATIVOS!$C$1:$Z$1,0))</f>
        <v>Proyección</v>
      </c>
      <c r="D108" t="str">
        <f>IFERROR(INDEX(CATALOGOS!$H$3:$H$6,MATCH(C108,CATALOGOS!$G$3:$G$6,0)),"")</f>
        <v>Macrociclo</v>
      </c>
      <c r="E108" t="str">
        <f>IFERROR(INDEX(CATALOGOS!$I$3:$I$6,MATCH(C108,CATALOGOS!$G$3:$G$6,0)),"")</f>
        <v>Iniciar / aprender</v>
      </c>
    </row>
    <row r="109" spans="1:5" x14ac:dyDescent="0.2">
      <c r="A109" t="s">
        <v>79</v>
      </c>
      <c r="B109" t="s">
        <v>88</v>
      </c>
      <c r="C109" t="str">
        <f>INDEX(NORMATIVOS!$C$87:$Z$87,1,MATCH($B$3,NORMATIVOS!$C$1:$Z$1,0))</f>
        <v>Proyección</v>
      </c>
      <c r="D109" t="str">
        <f>IFERROR(INDEX(CATALOGOS!$H$3:$H$6,MATCH(C109,CATALOGOS!$G$3:$G$6,0)),"")</f>
        <v>Macrociclo</v>
      </c>
      <c r="E109" t="str">
        <f>IFERROR(INDEX(CATALOGOS!$I$3:$I$6,MATCH(C109,CATALOGOS!$G$3:$G$6,0)),"")</f>
        <v>Iniciar / aprender</v>
      </c>
    </row>
    <row r="110" spans="1:5" x14ac:dyDescent="0.2">
      <c r="A110" t="s">
        <v>79</v>
      </c>
      <c r="B110" t="s">
        <v>89</v>
      </c>
      <c r="C110" t="str">
        <f>INDEX(NORMATIVOS!$C$88:$Z$88,1,MATCH($B$3,NORMATIVOS!$C$1:$Z$1,0))</f>
        <v>Proyección</v>
      </c>
      <c r="D110" t="str">
        <f>IFERROR(INDEX(CATALOGOS!$H$3:$H$6,MATCH(C110,CATALOGOS!$G$3:$G$6,0)),"")</f>
        <v>Macrociclo</v>
      </c>
      <c r="E110" t="str">
        <f>IFERROR(INDEX(CATALOGOS!$I$3:$I$6,MATCH(C110,CATALOGOS!$G$3:$G$6,0)),"")</f>
        <v>Iniciar / aprender</v>
      </c>
    </row>
    <row r="111" spans="1:5" x14ac:dyDescent="0.2">
      <c r="A111" t="s">
        <v>79</v>
      </c>
      <c r="B111" t="s">
        <v>90</v>
      </c>
      <c r="C111" t="str">
        <f>INDEX(NORMATIVOS!$C$89:$Z$89,1,MATCH($B$3,NORMATIVOS!$C$1:$Z$1,0))</f>
        <v>Proyección</v>
      </c>
      <c r="D111" t="str">
        <f>IFERROR(INDEX(CATALOGOS!$H$3:$H$6,MATCH(C111,CATALOGOS!$G$3:$G$6,0)),"")</f>
        <v>Macrociclo</v>
      </c>
      <c r="E111" t="str">
        <f>IFERROR(INDEX(CATALOGOS!$I$3:$I$6,MATCH(C111,CATALOGOS!$G$3:$G$6,0)),"")</f>
        <v>Iniciar / aprender</v>
      </c>
    </row>
    <row r="112" spans="1:5" x14ac:dyDescent="0.2">
      <c r="A112" t="s">
        <v>79</v>
      </c>
      <c r="B112" t="s">
        <v>62</v>
      </c>
      <c r="C112" t="str">
        <f>INDEX(NORMATIVOS!$C$90:$Z$90,1,MATCH($B$3,NORMATIVOS!$C$1:$Z$1,0))</f>
        <v>Proyección</v>
      </c>
      <c r="D112" t="str">
        <f>IFERROR(INDEX(CATALOGOS!$H$3:$H$6,MATCH(C112,CATALOGOS!$G$3:$G$6,0)),"")</f>
        <v>Macrociclo</v>
      </c>
      <c r="E112" t="str">
        <f>IFERROR(INDEX(CATALOGOS!$I$3:$I$6,MATCH(C112,CATALOGOS!$G$3:$G$6,0)),"")</f>
        <v>Iniciar / aprender</v>
      </c>
    </row>
    <row r="113" spans="1:5" x14ac:dyDescent="0.2">
      <c r="A113" t="s">
        <v>79</v>
      </c>
      <c r="B113" t="s">
        <v>91</v>
      </c>
      <c r="C113" t="str">
        <f>INDEX(NORMATIVOS!$C$91:$Z$91,1,MATCH($B$3,NORMATIVOS!$C$1:$Z$1,0))</f>
        <v>Proyección</v>
      </c>
      <c r="D113" t="str">
        <f>IFERROR(INDEX(CATALOGOS!$H$3:$H$6,MATCH(C113,CATALOGOS!$G$3:$G$6,0)),"")</f>
        <v>Macrociclo</v>
      </c>
      <c r="E113" t="str">
        <f>IFERROR(INDEX(CATALOGOS!$I$3:$I$6,MATCH(C113,CATALOGOS!$G$3:$G$6,0)),"")</f>
        <v>Iniciar / aprender</v>
      </c>
    </row>
    <row r="114" spans="1:5" x14ac:dyDescent="0.2">
      <c r="A114" t="s">
        <v>79</v>
      </c>
      <c r="B114" t="s">
        <v>92</v>
      </c>
      <c r="C114" t="str">
        <f>INDEX(NORMATIVOS!$C$92:$Z$92,1,MATCH($B$3,NORMATIVOS!$C$1:$Z$1,0))</f>
        <v>Proyección</v>
      </c>
      <c r="D114" t="str">
        <f>IFERROR(INDEX(CATALOGOS!$H$3:$H$6,MATCH(C114,CATALOGOS!$G$3:$G$6,0)),"")</f>
        <v>Macrociclo</v>
      </c>
      <c r="E114" t="str">
        <f>IFERROR(INDEX(CATALOGOS!$I$3:$I$6,MATCH(C114,CATALOGOS!$G$3:$G$6,0)),"")</f>
        <v>Iniciar / aprender</v>
      </c>
    </row>
    <row r="115" spans="1:5" x14ac:dyDescent="0.2">
      <c r="A115" t="s">
        <v>79</v>
      </c>
      <c r="B115" t="s">
        <v>93</v>
      </c>
      <c r="C115" t="str">
        <f>INDEX(NORMATIVOS!$C$93:$Z$93,1,MATCH($B$3,NORMATIVOS!$C$1:$Z$1,0))</f>
        <v>Proyección</v>
      </c>
      <c r="D115" t="str">
        <f>IFERROR(INDEX(CATALOGOS!$H$3:$H$6,MATCH(C115,CATALOGOS!$G$3:$G$6,0)),"")</f>
        <v>Macrociclo</v>
      </c>
      <c r="E115" t="str">
        <f>IFERROR(INDEX(CATALOGOS!$I$3:$I$6,MATCH(C115,CATALOGOS!$G$3:$G$6,0)),"")</f>
        <v>Iniciar / aprender</v>
      </c>
    </row>
    <row r="116" spans="1:5" x14ac:dyDescent="0.2">
      <c r="A116" t="s">
        <v>79</v>
      </c>
      <c r="B116" t="s">
        <v>94</v>
      </c>
      <c r="C116" t="str">
        <f>INDEX(NORMATIVOS!$C$94:$Z$94,1,MATCH($B$3,NORMATIVOS!$C$1:$Z$1,0))</f>
        <v>Proyección</v>
      </c>
      <c r="D116" t="str">
        <f>IFERROR(INDEX(CATALOGOS!$H$3:$H$6,MATCH(C116,CATALOGOS!$G$3:$G$6,0)),"")</f>
        <v>Macrociclo</v>
      </c>
      <c r="E116" t="str">
        <f>IFERROR(INDEX(CATALOGOS!$I$3:$I$6,MATCH(C116,CATALOGOS!$G$3:$G$6,0)),"")</f>
        <v>Iniciar / aprender</v>
      </c>
    </row>
    <row r="117" spans="1:5" x14ac:dyDescent="0.2">
      <c r="A117" t="s">
        <v>79</v>
      </c>
      <c r="B117" t="s">
        <v>95</v>
      </c>
      <c r="C117" t="str">
        <f>INDEX(NORMATIVOS!$C$95:$Z$95,1,MATCH($B$3,NORMATIVOS!$C$1:$Z$1,0))</f>
        <v>Proyección</v>
      </c>
      <c r="D117" t="str">
        <f>IFERROR(INDEX(CATALOGOS!$H$3:$H$6,MATCH(C117,CATALOGOS!$G$3:$G$6,0)),"")</f>
        <v>Macrociclo</v>
      </c>
      <c r="E117" t="str">
        <f>IFERROR(INDEX(CATALOGOS!$I$3:$I$6,MATCH(C117,CATALOGOS!$G$3:$G$6,0)),"")</f>
        <v>Iniciar / aprender</v>
      </c>
    </row>
    <row r="118" spans="1:5" x14ac:dyDescent="0.2">
      <c r="A118" t="s">
        <v>79</v>
      </c>
      <c r="B118" t="s">
        <v>77</v>
      </c>
      <c r="C118" t="str">
        <f>INDEX(NORMATIVOS!$C$96:$Z$96,1,MATCH($B$3,NORMATIVOS!$C$1:$Z$1,0))</f>
        <v>Proyección</v>
      </c>
      <c r="D118" t="str">
        <f>IFERROR(INDEX(CATALOGOS!$H$3:$H$6,MATCH(C118,CATALOGOS!$G$3:$G$6,0)),"")</f>
        <v>Macrociclo</v>
      </c>
      <c r="E118" t="str">
        <f>IFERROR(INDEX(CATALOGOS!$I$3:$I$6,MATCH(C118,CATALOGOS!$G$3:$G$6,0)),"")</f>
        <v>Iniciar / aprender</v>
      </c>
    </row>
    <row r="119" spans="1:5" x14ac:dyDescent="0.2">
      <c r="A119" t="s">
        <v>79</v>
      </c>
      <c r="B119" t="s">
        <v>78</v>
      </c>
      <c r="C119" t="str">
        <f>INDEX(NORMATIVOS!$C$97:$Z$97,1,MATCH($B$3,NORMATIVOS!$C$1:$Z$1,0))</f>
        <v>Proyección</v>
      </c>
      <c r="D119" t="str">
        <f>IFERROR(INDEX(CATALOGOS!$H$3:$H$6,MATCH(C119,CATALOGOS!$G$3:$G$6,0)),"")</f>
        <v>Macrociclo</v>
      </c>
      <c r="E119" t="str">
        <f>IFERROR(INDEX(CATALOGOS!$I$3:$I$6,MATCH(C119,CATALOGOS!$G$3:$G$6,0)),"")</f>
        <v>Iniciar / aprender</v>
      </c>
    </row>
    <row r="120" spans="1:5" x14ac:dyDescent="0.2">
      <c r="A120" t="s">
        <v>79</v>
      </c>
      <c r="B120" t="s">
        <v>97</v>
      </c>
      <c r="C120" t="str">
        <f>INDEX(NORMATIVOS!$C$98:$Z$98,1,MATCH($B$3,NORMATIVOS!$C$1:$Z$1,0))</f>
        <v>Proyección</v>
      </c>
      <c r="D120" t="str">
        <f>IFERROR(INDEX(CATALOGOS!$H$3:$H$6,MATCH(C120,CATALOGOS!$G$3:$G$6,0)),"")</f>
        <v>Macrociclo</v>
      </c>
      <c r="E120" t="str">
        <f>IFERROR(INDEX(CATALOGOS!$I$3:$I$6,MATCH(C120,CATALOGOS!$G$3:$G$6,0)),"")</f>
        <v>Iniciar / aprender</v>
      </c>
    </row>
    <row r="121" spans="1:5" x14ac:dyDescent="0.2">
      <c r="A121" t="s">
        <v>79</v>
      </c>
      <c r="B121" t="s">
        <v>98</v>
      </c>
      <c r="C121" t="str">
        <f>INDEX(NORMATIVOS!$C$99:$Z$99,1,MATCH($B$3,NORMATIVOS!$C$1:$Z$1,0))</f>
        <v>Proyección</v>
      </c>
      <c r="D121" t="str">
        <f>IFERROR(INDEX(CATALOGOS!$H$3:$H$6,MATCH(C121,CATALOGOS!$G$3:$G$6,0)),"")</f>
        <v>Macrociclo</v>
      </c>
      <c r="E121" t="str">
        <f>IFERROR(INDEX(CATALOGOS!$I$3:$I$6,MATCH(C121,CATALOGOS!$G$3:$G$6,0)),"")</f>
        <v>Iniciar / aprender</v>
      </c>
    </row>
    <row r="122" spans="1:5" x14ac:dyDescent="0.2">
      <c r="A122" t="s">
        <v>79</v>
      </c>
      <c r="B122" t="s">
        <v>99</v>
      </c>
      <c r="C122" t="str">
        <f>INDEX(NORMATIVOS!$C$100:$Z$100,1,MATCH($B$3,NORMATIVOS!$C$1:$Z$1,0))</f>
        <v>Proyección</v>
      </c>
      <c r="D122" t="str">
        <f>IFERROR(INDEX(CATALOGOS!$H$3:$H$6,MATCH(C122,CATALOGOS!$G$3:$G$6,0)),"")</f>
        <v>Macrociclo</v>
      </c>
      <c r="E122" t="str">
        <f>IFERROR(INDEX(CATALOGOS!$I$3:$I$6,MATCH(C122,CATALOGOS!$G$3:$G$6,0)),"")</f>
        <v>Iniciar / aprender</v>
      </c>
    </row>
    <row r="123" spans="1:5" x14ac:dyDescent="0.2">
      <c r="A123" t="s">
        <v>79</v>
      </c>
      <c r="B123" t="s">
        <v>100</v>
      </c>
      <c r="C123" t="str">
        <f>INDEX(NORMATIVOS!$C$101:$Z$101,1,MATCH($B$3,NORMATIVOS!$C$1:$Z$1,0))</f>
        <v>Proyección</v>
      </c>
      <c r="D123" t="str">
        <f>IFERROR(INDEX(CATALOGOS!$H$3:$H$6,MATCH(C123,CATALOGOS!$G$3:$G$6,0)),"")</f>
        <v>Macrociclo</v>
      </c>
      <c r="E123" t="str">
        <f>IFERROR(INDEX(CATALOGOS!$I$3:$I$6,MATCH(C123,CATALOGOS!$G$3:$G$6,0)),"")</f>
        <v>Iniciar / aprender</v>
      </c>
    </row>
    <row r="124" spans="1:5" x14ac:dyDescent="0.2">
      <c r="A124" t="s">
        <v>79</v>
      </c>
      <c r="B124" t="s">
        <v>101</v>
      </c>
      <c r="C124" t="str">
        <f>INDEX(NORMATIVOS!$C$102:$Z$102,1,MATCH($B$3,NORMATIVOS!$C$1:$Z$1,0))</f>
        <v>Proyección</v>
      </c>
      <c r="D124" t="str">
        <f>IFERROR(INDEX(CATALOGOS!$H$3:$H$6,MATCH(C124,CATALOGOS!$G$3:$G$6,0)),"")</f>
        <v>Macrociclo</v>
      </c>
      <c r="E124" t="str">
        <f>IFERROR(INDEX(CATALOGOS!$I$3:$I$6,MATCH(C124,CATALOGOS!$G$3:$G$6,0)),"")</f>
        <v>Iniciar / aprender</v>
      </c>
    </row>
    <row r="125" spans="1:5" x14ac:dyDescent="0.2">
      <c r="A125" t="s">
        <v>79</v>
      </c>
      <c r="B125" t="s">
        <v>102</v>
      </c>
      <c r="C125" t="str">
        <f>INDEX(NORMATIVOS!$C$103:$Z$103,1,MATCH($B$3,NORMATIVOS!$C$1:$Z$1,0))</f>
        <v>Proyección</v>
      </c>
      <c r="D125" t="str">
        <f>IFERROR(INDEX(CATALOGOS!$H$3:$H$6,MATCH(C125,CATALOGOS!$G$3:$G$6,0)),"")</f>
        <v>Macrociclo</v>
      </c>
      <c r="E125" t="str">
        <f>IFERROR(INDEX(CATALOGOS!$I$3:$I$6,MATCH(C125,CATALOGOS!$G$3:$G$6,0)),"")</f>
        <v>Iniciar / aprender</v>
      </c>
    </row>
    <row r="126" spans="1:5" x14ac:dyDescent="0.2">
      <c r="A126" t="s">
        <v>79</v>
      </c>
      <c r="B126" t="s">
        <v>103</v>
      </c>
      <c r="C126" t="str">
        <f>INDEX(NORMATIVOS!$C$104:$Z$104,1,MATCH($B$3,NORMATIVOS!$C$1:$Z$1,0))</f>
        <v>Proyección</v>
      </c>
      <c r="D126" t="str">
        <f>IFERROR(INDEX(CATALOGOS!$H$3:$H$6,MATCH(C126,CATALOGOS!$G$3:$G$6,0)),"")</f>
        <v>Macrociclo</v>
      </c>
      <c r="E126" t="str">
        <f>IFERROR(INDEX(CATALOGOS!$I$3:$I$6,MATCH(C126,CATALOGOS!$G$3:$G$6,0)),"")</f>
        <v>Iniciar / aprender</v>
      </c>
    </row>
    <row r="127" spans="1:5" x14ac:dyDescent="0.2">
      <c r="A127" t="s">
        <v>105</v>
      </c>
      <c r="B127" t="s">
        <v>106</v>
      </c>
      <c r="C127" t="str">
        <f>INDEX(NORMATIVOS!$C$107:$Z$107,1,MATCH($B$3,NORMATIVOS!$C$1:$Z$1,0))</f>
        <v>Consolidado</v>
      </c>
      <c r="D127" t="str">
        <f>IFERROR(INDEX(CATALOGOS!$H$3:$H$6,MATCH(C127,CATALOGOS!$G$3:$G$6,0)),"")</f>
        <v>Microciclo</v>
      </c>
      <c r="E127" t="str">
        <f>IFERROR(INDEX(CATALOGOS!$I$3:$I$6,MATCH(C127,CATALOGOS!$G$3:$G$6,0)),"")</f>
        <v>Mantener / perfeccionar</v>
      </c>
    </row>
    <row r="128" spans="1:5" x14ac:dyDescent="0.2">
      <c r="A128" t="s">
        <v>105</v>
      </c>
      <c r="B128" t="s">
        <v>107</v>
      </c>
      <c r="C128" t="str">
        <f>INDEX(NORMATIVOS!$C$108:$Z$108,1,MATCH($B$3,NORMATIVOS!$C$1:$Z$1,0))</f>
        <v>Consolidado</v>
      </c>
      <c r="D128" t="str">
        <f>IFERROR(INDEX(CATALOGOS!$H$3:$H$6,MATCH(C128,CATALOGOS!$G$3:$G$6,0)),"")</f>
        <v>Microciclo</v>
      </c>
      <c r="E128" t="str">
        <f>IFERROR(INDEX(CATALOGOS!$I$3:$I$6,MATCH(C128,CATALOGOS!$G$3:$G$6,0)),"")</f>
        <v>Mantener / perfeccionar</v>
      </c>
    </row>
    <row r="129" spans="1:5" x14ac:dyDescent="0.2">
      <c r="A129" t="s">
        <v>105</v>
      </c>
      <c r="B129" t="s">
        <v>108</v>
      </c>
      <c r="C129" t="str">
        <f>INDEX(NORMATIVOS!$C$109:$Z$109,1,MATCH($B$3,NORMATIVOS!$C$1:$Z$1,0))</f>
        <v>Consolidado</v>
      </c>
      <c r="D129" t="str">
        <f>IFERROR(INDEX(CATALOGOS!$H$3:$H$6,MATCH(C129,CATALOGOS!$G$3:$G$6,0)),"")</f>
        <v>Microciclo</v>
      </c>
      <c r="E129" t="str">
        <f>IFERROR(INDEX(CATALOGOS!$I$3:$I$6,MATCH(C129,CATALOGOS!$G$3:$G$6,0)),"")</f>
        <v>Mantener / perfeccionar</v>
      </c>
    </row>
    <row r="130" spans="1:5" x14ac:dyDescent="0.2">
      <c r="A130" t="s">
        <v>105</v>
      </c>
      <c r="B130" t="s">
        <v>298</v>
      </c>
      <c r="C130" t="str">
        <f>INDEX(NORMATIVOS!$C$110:$Z$110,1,MATCH($B$3,NORMATIVOS!$C$1:$Z$1,0))</f>
        <v>Consolidado</v>
      </c>
      <c r="D130" t="str">
        <f>IFERROR(INDEX(CATALOGOS!$H$3:$H$6,MATCH(C130,CATALOGOS!$G$3:$G$6,0)),"")</f>
        <v>Microciclo</v>
      </c>
      <c r="E130" t="str">
        <f>IFERROR(INDEX(CATALOGOS!$I$3:$I$6,MATCH(C130,CATALOGOS!$G$3:$G$6,0)),"")</f>
        <v>Mantener / perfeccionar</v>
      </c>
    </row>
    <row r="131" spans="1:5" x14ac:dyDescent="0.2">
      <c r="A131" t="s">
        <v>105</v>
      </c>
      <c r="B131" t="s">
        <v>110</v>
      </c>
      <c r="C131" t="str">
        <f>INDEX(NORMATIVOS!$C$111:$Z$111,1,MATCH($B$3,NORMATIVOS!$C$1:$Z$1,0))</f>
        <v>Consolidado</v>
      </c>
      <c r="D131" t="str">
        <f>IFERROR(INDEX(CATALOGOS!$H$3:$H$6,MATCH(C131,CATALOGOS!$G$3:$G$6,0)),"")</f>
        <v>Microciclo</v>
      </c>
      <c r="E131" t="str">
        <f>IFERROR(INDEX(CATALOGOS!$I$3:$I$6,MATCH(C131,CATALOGOS!$G$3:$G$6,0)),"")</f>
        <v>Mantener / perfeccionar</v>
      </c>
    </row>
    <row r="132" spans="1:5" x14ac:dyDescent="0.2">
      <c r="A132" t="s">
        <v>105</v>
      </c>
      <c r="B132" t="s">
        <v>111</v>
      </c>
      <c r="C132" t="str">
        <f>INDEX(NORMATIVOS!$C$112:$Z$112,1,MATCH($B$3,NORMATIVOS!$C$1:$Z$1,0))</f>
        <v>Consolidado</v>
      </c>
      <c r="D132" t="str">
        <f>IFERROR(INDEX(CATALOGOS!$H$3:$H$6,MATCH(C132,CATALOGOS!$G$3:$G$6,0)),"")</f>
        <v>Microciclo</v>
      </c>
      <c r="E132" t="str">
        <f>IFERROR(INDEX(CATALOGOS!$I$3:$I$6,MATCH(C132,CATALOGOS!$G$3:$G$6,0)),"")</f>
        <v>Mantener / perfeccionar</v>
      </c>
    </row>
    <row r="133" spans="1:5" x14ac:dyDescent="0.2">
      <c r="A133" t="s">
        <v>105</v>
      </c>
      <c r="B133" t="s">
        <v>112</v>
      </c>
      <c r="C133" t="str">
        <f>INDEX(NORMATIVOS!$C$113:$Z$113,1,MATCH($B$3,NORMATIVOS!$C$1:$Z$1,0))</f>
        <v>Consolidado</v>
      </c>
      <c r="D133" t="str">
        <f>IFERROR(INDEX(CATALOGOS!$H$3:$H$6,MATCH(C133,CATALOGOS!$G$3:$G$6,0)),"")</f>
        <v>Microciclo</v>
      </c>
      <c r="E133" t="str">
        <f>IFERROR(INDEX(CATALOGOS!$I$3:$I$6,MATCH(C133,CATALOGOS!$G$3:$G$6,0)),"")</f>
        <v>Mantener / perfeccionar</v>
      </c>
    </row>
    <row r="134" spans="1:5" x14ac:dyDescent="0.2">
      <c r="A134" t="s">
        <v>105</v>
      </c>
      <c r="B134" t="s">
        <v>5</v>
      </c>
      <c r="C134" t="str">
        <f>INDEX(NORMATIVOS!$C$114:$Z$114,1,MATCH($B$3,NORMATIVOS!$C$1:$Z$1,0))</f>
        <v>Consolidado</v>
      </c>
      <c r="D134" t="str">
        <f>IFERROR(INDEX(CATALOGOS!$H$3:$H$6,MATCH(C134,CATALOGOS!$G$3:$G$6,0)),"")</f>
        <v>Microciclo</v>
      </c>
      <c r="E134" t="str">
        <f>IFERROR(INDEX(CATALOGOS!$I$3:$I$6,MATCH(C134,CATALOGOS!$G$3:$G$6,0)),"")</f>
        <v>Mantener / perfeccionar</v>
      </c>
    </row>
    <row r="135" spans="1:5" x14ac:dyDescent="0.2">
      <c r="A135" t="s">
        <v>105</v>
      </c>
      <c r="B135" t="s">
        <v>113</v>
      </c>
      <c r="C135" t="str">
        <f>INDEX(NORMATIVOS!$C$115:$Z$115,1,MATCH($B$3,NORMATIVOS!$C$1:$Z$1,0))</f>
        <v>En proceso</v>
      </c>
      <c r="D135" t="str">
        <f>IFERROR(INDEX(CATALOGOS!$H$3:$H$6,MATCH(C135,CATALOGOS!$G$3:$G$6,0)),"")</f>
        <v>Mesociclo</v>
      </c>
      <c r="E135" t="str">
        <f>IFERROR(INDEX(CATALOGOS!$I$3:$I$6,MATCH(C135,CATALOGOS!$G$3:$G$6,0)),"")</f>
        <v>Desarrollar / consolidar</v>
      </c>
    </row>
    <row r="136" spans="1:5" x14ac:dyDescent="0.2">
      <c r="A136" t="s">
        <v>105</v>
      </c>
      <c r="B136" t="s">
        <v>299</v>
      </c>
      <c r="C136" t="str">
        <f>INDEX(NORMATIVOS!$C$116:$Z$116,1,MATCH($B$3,NORMATIVOS!$C$1:$Z$1,0))</f>
        <v>Consolidado</v>
      </c>
      <c r="D136" t="str">
        <f>IFERROR(INDEX(CATALOGOS!$H$3:$H$6,MATCH(C136,CATALOGOS!$G$3:$G$6,0)),"")</f>
        <v>Microciclo</v>
      </c>
      <c r="E136" t="str">
        <f>IFERROR(INDEX(CATALOGOS!$I$3:$I$6,MATCH(C136,CATALOGOS!$G$3:$G$6,0)),"")</f>
        <v>Mantener / perfeccionar</v>
      </c>
    </row>
    <row r="137" spans="1:5" x14ac:dyDescent="0.2">
      <c r="A137" t="s">
        <v>105</v>
      </c>
      <c r="B137" t="s">
        <v>115</v>
      </c>
      <c r="C137" t="str">
        <f>INDEX(NORMATIVOS!$C$117:$Z$117,1,MATCH($B$3,NORMATIVOS!$C$1:$Z$1,0))</f>
        <v>En proceso</v>
      </c>
      <c r="D137" t="str">
        <f>IFERROR(INDEX(CATALOGOS!$H$3:$H$6,MATCH(C137,CATALOGOS!$G$3:$G$6,0)),"")</f>
        <v>Mesociclo</v>
      </c>
      <c r="E137" t="str">
        <f>IFERROR(INDEX(CATALOGOS!$I$3:$I$6,MATCH(C137,CATALOGOS!$G$3:$G$6,0)),"")</f>
        <v>Desarrollar / consolidar</v>
      </c>
    </row>
    <row r="138" spans="1:5" x14ac:dyDescent="0.2">
      <c r="A138" t="s">
        <v>105</v>
      </c>
      <c r="B138" t="s">
        <v>116</v>
      </c>
      <c r="C138" t="str">
        <f>INDEX(NORMATIVOS!$C$118:$Z$118,1,MATCH($B$3,NORMATIVOS!$C$1:$Z$1,0))</f>
        <v>En proceso</v>
      </c>
      <c r="D138" t="str">
        <f>IFERROR(INDEX(CATALOGOS!$H$3:$H$6,MATCH(C138,CATALOGOS!$G$3:$G$6,0)),"")</f>
        <v>Mesociclo</v>
      </c>
      <c r="E138" t="str">
        <f>IFERROR(INDEX(CATALOGOS!$I$3:$I$6,MATCH(C138,CATALOGOS!$G$3:$G$6,0)),"")</f>
        <v>Desarrollar / consolidar</v>
      </c>
    </row>
    <row r="139" spans="1:5" x14ac:dyDescent="0.2">
      <c r="A139" t="s">
        <v>105</v>
      </c>
      <c r="B139" t="s">
        <v>117</v>
      </c>
      <c r="C139" t="str">
        <f>INDEX(NORMATIVOS!$C$119:$Z$119,1,MATCH($B$3,NORMATIVOS!$C$1:$Z$1,0))</f>
        <v>Proyección</v>
      </c>
      <c r="D139" t="str">
        <f>IFERROR(INDEX(CATALOGOS!$H$3:$H$6,MATCH(C139,CATALOGOS!$G$3:$G$6,0)),"")</f>
        <v>Macrociclo</v>
      </c>
      <c r="E139" t="str">
        <f>IFERROR(INDEX(CATALOGOS!$I$3:$I$6,MATCH(C139,CATALOGOS!$G$3:$G$6,0)),"")</f>
        <v>Iniciar / aprender</v>
      </c>
    </row>
    <row r="140" spans="1:5" x14ac:dyDescent="0.2">
      <c r="A140" t="s">
        <v>105</v>
      </c>
      <c r="B140" t="s">
        <v>118</v>
      </c>
      <c r="C140" t="str">
        <f>INDEX(NORMATIVOS!$C$120:$Z$120,1,MATCH($B$3,NORMATIVOS!$C$1:$Z$1,0))</f>
        <v>Proyección</v>
      </c>
      <c r="D140" t="str">
        <f>IFERROR(INDEX(CATALOGOS!$H$3:$H$6,MATCH(C140,CATALOGOS!$G$3:$G$6,0)),"")</f>
        <v>Macrociclo</v>
      </c>
      <c r="E140" t="str">
        <f>IFERROR(INDEX(CATALOGOS!$I$3:$I$6,MATCH(C140,CATALOGOS!$G$3:$G$6,0)),"")</f>
        <v>Iniciar / aprender</v>
      </c>
    </row>
    <row r="141" spans="1:5" x14ac:dyDescent="0.2">
      <c r="A141" t="s">
        <v>105</v>
      </c>
      <c r="B141" t="s">
        <v>119</v>
      </c>
      <c r="C141" t="str">
        <f>INDEX(NORMATIVOS!$C$121:$Z$121,1,MATCH($B$3,NORMATIVOS!$C$1:$Z$1,0))</f>
        <v>Proyección</v>
      </c>
      <c r="D141" t="str">
        <f>IFERROR(INDEX(CATALOGOS!$H$3:$H$6,MATCH(C141,CATALOGOS!$G$3:$G$6,0)),"")</f>
        <v>Macrociclo</v>
      </c>
      <c r="E141" t="str">
        <f>IFERROR(INDEX(CATALOGOS!$I$3:$I$6,MATCH(C141,CATALOGOS!$G$3:$G$6,0)),"")</f>
        <v>Iniciar / aprender</v>
      </c>
    </row>
    <row r="142" spans="1:5" x14ac:dyDescent="0.2">
      <c r="A142" t="s">
        <v>120</v>
      </c>
      <c r="B142" t="s">
        <v>121</v>
      </c>
      <c r="C142" t="str">
        <f>INDEX(NORMATIVOS!$C$122:$Z$122,1,MATCH($B$3,NORMATIVOS!$C$1:$Z$1,0))</f>
        <v>Consolidado</v>
      </c>
      <c r="D142" t="str">
        <f>IFERROR(INDEX(CATALOGOS!$H$3:$H$6,MATCH(C142,CATALOGOS!$G$3:$G$6,0)),"")</f>
        <v>Microciclo</v>
      </c>
      <c r="E142" t="str">
        <f>IFERROR(INDEX(CATALOGOS!$I$3:$I$6,MATCH(C142,CATALOGOS!$G$3:$G$6,0)),"")</f>
        <v>Mantener / perfeccionar</v>
      </c>
    </row>
    <row r="143" spans="1:5" x14ac:dyDescent="0.2">
      <c r="A143" t="s">
        <v>120</v>
      </c>
      <c r="B143" t="s">
        <v>300</v>
      </c>
      <c r="C143" t="str">
        <f>INDEX(NORMATIVOS!$C$123:$Z$123,1,MATCH($B$3,NORMATIVOS!$C$1:$Z$1,0))</f>
        <v>En proceso</v>
      </c>
      <c r="D143" t="str">
        <f>IFERROR(INDEX(CATALOGOS!$H$3:$H$6,MATCH(C143,CATALOGOS!$G$3:$G$6,0)),"")</f>
        <v>Mesociclo</v>
      </c>
      <c r="E143" t="str">
        <f>IFERROR(INDEX(CATALOGOS!$I$3:$I$6,MATCH(C143,CATALOGOS!$G$3:$G$6,0)),"")</f>
        <v>Desarrollar / consolidar</v>
      </c>
    </row>
    <row r="144" spans="1:5" x14ac:dyDescent="0.2">
      <c r="A144" t="s">
        <v>120</v>
      </c>
      <c r="B144" t="s">
        <v>123</v>
      </c>
      <c r="C144" t="str">
        <f>INDEX(NORMATIVOS!$C$124:$Z$124,1,MATCH($B$3,NORMATIVOS!$C$1:$Z$1,0))</f>
        <v>En proceso</v>
      </c>
      <c r="D144" t="str">
        <f>IFERROR(INDEX(CATALOGOS!$H$3:$H$6,MATCH(C144,CATALOGOS!$G$3:$G$6,0)),"")</f>
        <v>Mesociclo</v>
      </c>
      <c r="E144" t="str">
        <f>IFERROR(INDEX(CATALOGOS!$I$3:$I$6,MATCH(C144,CATALOGOS!$G$3:$G$6,0)),"")</f>
        <v>Desarrollar / consolidar</v>
      </c>
    </row>
    <row r="145" spans="1:5" x14ac:dyDescent="0.2">
      <c r="A145" t="s">
        <v>120</v>
      </c>
      <c r="B145" t="s">
        <v>124</v>
      </c>
      <c r="C145" t="str">
        <f>INDEX(NORMATIVOS!$C$125:$Z$125,1,MATCH($B$3,NORMATIVOS!$C$1:$Z$1,0))</f>
        <v>En proceso</v>
      </c>
      <c r="D145" t="str">
        <f>IFERROR(INDEX(CATALOGOS!$H$3:$H$6,MATCH(C145,CATALOGOS!$G$3:$G$6,0)),"")</f>
        <v>Mesociclo</v>
      </c>
      <c r="E145" t="str">
        <f>IFERROR(INDEX(CATALOGOS!$I$3:$I$6,MATCH(C145,CATALOGOS!$G$3:$G$6,0)),"")</f>
        <v>Desarrollar / consolidar</v>
      </c>
    </row>
    <row r="146" spans="1:5" x14ac:dyDescent="0.2">
      <c r="A146" t="s">
        <v>120</v>
      </c>
      <c r="B146" t="s">
        <v>125</v>
      </c>
      <c r="C146" t="str">
        <f>INDEX(NORMATIVOS!$C$126:$Z$126,1,MATCH($B$3,NORMATIVOS!$C$1:$Z$1,0))</f>
        <v>En proceso</v>
      </c>
      <c r="D146" t="str">
        <f>IFERROR(INDEX(CATALOGOS!$H$3:$H$6,MATCH(C146,CATALOGOS!$G$3:$G$6,0)),"")</f>
        <v>Mesociclo</v>
      </c>
      <c r="E146" t="str">
        <f>IFERROR(INDEX(CATALOGOS!$I$3:$I$6,MATCH(C146,CATALOGOS!$G$3:$G$6,0)),"")</f>
        <v>Desarrollar / consolidar</v>
      </c>
    </row>
    <row r="147" spans="1:5" x14ac:dyDescent="0.2">
      <c r="A147" t="s">
        <v>120</v>
      </c>
      <c r="B147" t="s">
        <v>126</v>
      </c>
      <c r="C147" t="str">
        <f>INDEX(NORMATIVOS!$C$127:$Z$127,1,MATCH($B$3,NORMATIVOS!$C$1:$Z$1,0))</f>
        <v>Consolidado</v>
      </c>
      <c r="D147" t="str">
        <f>IFERROR(INDEX(CATALOGOS!$H$3:$H$6,MATCH(C147,CATALOGOS!$G$3:$G$6,0)),"")</f>
        <v>Microciclo</v>
      </c>
      <c r="E147" t="str">
        <f>IFERROR(INDEX(CATALOGOS!$I$3:$I$6,MATCH(C147,CATALOGOS!$G$3:$G$6,0)),"")</f>
        <v>Mantener / perfeccionar</v>
      </c>
    </row>
    <row r="148" spans="1:5" x14ac:dyDescent="0.2">
      <c r="A148" t="s">
        <v>120</v>
      </c>
      <c r="B148" t="s">
        <v>127</v>
      </c>
      <c r="C148" t="str">
        <f>INDEX(NORMATIVOS!$C$128:$Z$128,1,MATCH($B$3,NORMATIVOS!$C$1:$Z$1,0))</f>
        <v>En proceso</v>
      </c>
      <c r="D148" t="str">
        <f>IFERROR(INDEX(CATALOGOS!$H$3:$H$6,MATCH(C148,CATALOGOS!$G$3:$G$6,0)),"")</f>
        <v>Mesociclo</v>
      </c>
      <c r="E148" t="str">
        <f>IFERROR(INDEX(CATALOGOS!$I$3:$I$6,MATCH(C148,CATALOGOS!$G$3:$G$6,0)),"")</f>
        <v>Desarrollar / consolidar</v>
      </c>
    </row>
    <row r="149" spans="1:5" x14ac:dyDescent="0.2">
      <c r="A149" t="s">
        <v>120</v>
      </c>
      <c r="B149" t="s">
        <v>301</v>
      </c>
      <c r="C149" t="str">
        <f>INDEX(NORMATIVOS!$C$129:$Z$129,1,MATCH($B$3,NORMATIVOS!$C$1:$Z$1,0))</f>
        <v>Consolidado</v>
      </c>
      <c r="D149" t="str">
        <f>IFERROR(INDEX(CATALOGOS!$H$3:$H$6,MATCH(C149,CATALOGOS!$G$3:$G$6,0)),"")</f>
        <v>Microciclo</v>
      </c>
      <c r="E149" t="str">
        <f>IFERROR(INDEX(CATALOGOS!$I$3:$I$6,MATCH(C149,CATALOGOS!$G$3:$G$6,0)),"")</f>
        <v>Mantener / perfeccionar</v>
      </c>
    </row>
    <row r="150" spans="1:5" x14ac:dyDescent="0.2">
      <c r="A150" t="s">
        <v>120</v>
      </c>
      <c r="B150" t="s">
        <v>129</v>
      </c>
      <c r="C150" t="str">
        <f>INDEX(NORMATIVOS!$C$130:$Z$130,1,MATCH($B$3,NORMATIVOS!$C$1:$Z$1,0))</f>
        <v>En proceso</v>
      </c>
      <c r="D150" t="str">
        <f>IFERROR(INDEX(CATALOGOS!$H$3:$H$6,MATCH(C150,CATALOGOS!$G$3:$G$6,0)),"")</f>
        <v>Mesociclo</v>
      </c>
      <c r="E150" t="str">
        <f>IFERROR(INDEX(CATALOGOS!$I$3:$I$6,MATCH(C150,CATALOGOS!$G$3:$G$6,0)),"")</f>
        <v>Desarrollar / consolidar</v>
      </c>
    </row>
    <row r="151" spans="1:5" x14ac:dyDescent="0.2">
      <c r="A151" t="s">
        <v>120</v>
      </c>
      <c r="B151" t="s">
        <v>130</v>
      </c>
      <c r="C151" t="str">
        <f>INDEX(NORMATIVOS!$C$131:$Z$131,1,MATCH($B$3,NORMATIVOS!$C$1:$Z$1,0))</f>
        <v>En proceso</v>
      </c>
      <c r="D151" t="str">
        <f>IFERROR(INDEX(CATALOGOS!$H$3:$H$6,MATCH(C151,CATALOGOS!$G$3:$G$6,0)),"")</f>
        <v>Mesociclo</v>
      </c>
      <c r="E151" t="str">
        <f>IFERROR(INDEX(CATALOGOS!$I$3:$I$6,MATCH(C151,CATALOGOS!$G$3:$G$6,0)),"")</f>
        <v>Desarrollar / consolidar</v>
      </c>
    </row>
    <row r="152" spans="1:5" x14ac:dyDescent="0.2">
      <c r="A152" t="s">
        <v>120</v>
      </c>
      <c r="B152" t="s">
        <v>131</v>
      </c>
      <c r="C152" t="str">
        <f>INDEX(NORMATIVOS!$C$132:$Z$132,1,MATCH($B$3,NORMATIVOS!$C$1:$Z$1,0))</f>
        <v>Consolidado</v>
      </c>
      <c r="D152" t="str">
        <f>IFERROR(INDEX(CATALOGOS!$H$3:$H$6,MATCH(C152,CATALOGOS!$G$3:$G$6,0)),"")</f>
        <v>Microciclo</v>
      </c>
      <c r="E152" t="str">
        <f>IFERROR(INDEX(CATALOGOS!$I$3:$I$6,MATCH(C152,CATALOGOS!$G$3:$G$6,0)),"")</f>
        <v>Mantener / perfeccionar</v>
      </c>
    </row>
    <row r="153" spans="1:5" x14ac:dyDescent="0.2">
      <c r="A153" t="s">
        <v>120</v>
      </c>
      <c r="B153" t="s">
        <v>302</v>
      </c>
      <c r="C153" t="str">
        <f>INDEX(NORMATIVOS!$C$133:$Z$133,1,MATCH($B$3,NORMATIVOS!$C$1:$Z$1,0))</f>
        <v>En proceso</v>
      </c>
      <c r="D153" t="str">
        <f>IFERROR(INDEX(CATALOGOS!$H$3:$H$6,MATCH(C153,CATALOGOS!$G$3:$G$6,0)),"")</f>
        <v>Mesociclo</v>
      </c>
      <c r="E153" t="str">
        <f>IFERROR(INDEX(CATALOGOS!$I$3:$I$6,MATCH(C153,CATALOGOS!$G$3:$G$6,0)),"")</f>
        <v>Desarrollar / consolidar</v>
      </c>
    </row>
    <row r="154" spans="1:5" x14ac:dyDescent="0.2">
      <c r="A154" t="s">
        <v>120</v>
      </c>
      <c r="B154" t="s">
        <v>303</v>
      </c>
      <c r="C154" t="str">
        <f>INDEX(NORMATIVOS!$C$134:$Z$134,1,MATCH($B$3,NORMATIVOS!$C$1:$Z$1,0))</f>
        <v>Consolidado</v>
      </c>
      <c r="D154" t="str">
        <f>IFERROR(INDEX(CATALOGOS!$H$3:$H$6,MATCH(C154,CATALOGOS!$G$3:$G$6,0)),"")</f>
        <v>Microciclo</v>
      </c>
      <c r="E154" t="str">
        <f>IFERROR(INDEX(CATALOGOS!$I$3:$I$6,MATCH(C154,CATALOGOS!$G$3:$G$6,0)),"")</f>
        <v>Mantener / perfeccionar</v>
      </c>
    </row>
    <row r="155" spans="1:5" x14ac:dyDescent="0.2">
      <c r="A155" t="s">
        <v>120</v>
      </c>
      <c r="B155" t="s">
        <v>134</v>
      </c>
      <c r="C155" t="str">
        <f>INDEX(NORMATIVOS!$C$135:$Z$135,1,MATCH($B$3,NORMATIVOS!$C$1:$Z$1,0))</f>
        <v>Proyección</v>
      </c>
      <c r="D155" t="str">
        <f>IFERROR(INDEX(CATALOGOS!$H$3:$H$6,MATCH(C155,CATALOGOS!$G$3:$G$6,0)),"")</f>
        <v>Macrociclo</v>
      </c>
      <c r="E155" t="str">
        <f>IFERROR(INDEX(CATALOGOS!$I$3:$I$6,MATCH(C155,CATALOGOS!$G$3:$G$6,0)),"")</f>
        <v>Iniciar / aprender</v>
      </c>
    </row>
    <row r="156" spans="1:5" x14ac:dyDescent="0.2">
      <c r="A156" t="s">
        <v>120</v>
      </c>
      <c r="B156" t="s">
        <v>135</v>
      </c>
      <c r="C156" t="str">
        <f>INDEX(NORMATIVOS!$C$136:$Z$136,1,MATCH($B$3,NORMATIVOS!$C$1:$Z$1,0))</f>
        <v>Proyección</v>
      </c>
      <c r="D156" t="str">
        <f>IFERROR(INDEX(CATALOGOS!$H$3:$H$6,MATCH(C156,CATALOGOS!$G$3:$G$6,0)),"")</f>
        <v>Macrociclo</v>
      </c>
      <c r="E156" t="str">
        <f>IFERROR(INDEX(CATALOGOS!$I$3:$I$6,MATCH(C156,CATALOGOS!$G$3:$G$6,0)),"")</f>
        <v>Iniciar / aprender</v>
      </c>
    </row>
    <row r="157" spans="1:5" x14ac:dyDescent="0.2">
      <c r="A157" t="s">
        <v>120</v>
      </c>
      <c r="B157" t="s">
        <v>136</v>
      </c>
      <c r="C157" t="str">
        <f>INDEX(NORMATIVOS!$C$137:$Z$137,1,MATCH($B$3,NORMATIVOS!$C$1:$Z$1,0))</f>
        <v>Proyección</v>
      </c>
      <c r="D157" t="str">
        <f>IFERROR(INDEX(CATALOGOS!$H$3:$H$6,MATCH(C157,CATALOGOS!$G$3:$G$6,0)),"")</f>
        <v>Macrociclo</v>
      </c>
      <c r="E157" t="str">
        <f>IFERROR(INDEX(CATALOGOS!$I$3:$I$6,MATCH(C157,CATALOGOS!$G$3:$G$6,0)),"")</f>
        <v>Iniciar / aprender</v>
      </c>
    </row>
    <row r="158" spans="1:5" x14ac:dyDescent="0.2">
      <c r="A158" t="s">
        <v>120</v>
      </c>
      <c r="B158" t="s">
        <v>137</v>
      </c>
      <c r="C158" t="str">
        <f>INDEX(NORMATIVOS!$C$138:$Z$138,1,MATCH($B$3,NORMATIVOS!$C$1:$Z$1,0))</f>
        <v>Proyección</v>
      </c>
      <c r="D158" t="str">
        <f>IFERROR(INDEX(CATALOGOS!$H$3:$H$6,MATCH(C158,CATALOGOS!$G$3:$G$6,0)),"")</f>
        <v>Macrociclo</v>
      </c>
      <c r="E158" t="str">
        <f>IFERROR(INDEX(CATALOGOS!$I$3:$I$6,MATCH(C158,CATALOGOS!$G$3:$G$6,0)),"")</f>
        <v>Iniciar / aprender</v>
      </c>
    </row>
    <row r="159" spans="1:5" x14ac:dyDescent="0.2">
      <c r="A159" t="s">
        <v>120</v>
      </c>
      <c r="B159" t="s">
        <v>138</v>
      </c>
      <c r="C159" t="str">
        <f>INDEX(NORMATIVOS!$C$139:$Z$139,1,MATCH($B$3,NORMATIVOS!$C$1:$Z$1,0))</f>
        <v>Proyección</v>
      </c>
      <c r="D159" t="str">
        <f>IFERROR(INDEX(CATALOGOS!$H$3:$H$6,MATCH(C159,CATALOGOS!$G$3:$G$6,0)),"")</f>
        <v>Macrociclo</v>
      </c>
      <c r="E159" t="str">
        <f>IFERROR(INDEX(CATALOGOS!$I$3:$I$6,MATCH(C159,CATALOGOS!$G$3:$G$6,0)),"")</f>
        <v>Iniciar / aprender</v>
      </c>
    </row>
    <row r="160" spans="1:5" x14ac:dyDescent="0.2">
      <c r="A160" t="s">
        <v>120</v>
      </c>
      <c r="B160" t="s">
        <v>139</v>
      </c>
      <c r="C160" t="str">
        <f>INDEX(NORMATIVOS!$C$140:$Z$140,1,MATCH($B$3,NORMATIVOS!$C$1:$Z$1,0))</f>
        <v>Proyección</v>
      </c>
      <c r="D160" t="str">
        <f>IFERROR(INDEX(CATALOGOS!$H$3:$H$6,MATCH(C160,CATALOGOS!$G$3:$G$6,0)),"")</f>
        <v>Macrociclo</v>
      </c>
      <c r="E160" t="str">
        <f>IFERROR(INDEX(CATALOGOS!$I$3:$I$6,MATCH(C160,CATALOGOS!$G$3:$G$6,0)),"")</f>
        <v>Iniciar / aprender</v>
      </c>
    </row>
    <row r="161" spans="1:5" x14ac:dyDescent="0.2">
      <c r="A161" t="s">
        <v>120</v>
      </c>
      <c r="B161" t="s">
        <v>140</v>
      </c>
      <c r="C161" t="str">
        <f>INDEX(NORMATIVOS!$C$141:$Z$141,1,MATCH($B$3,NORMATIVOS!$C$1:$Z$1,0))</f>
        <v>Proyección</v>
      </c>
      <c r="D161" t="str">
        <f>IFERROR(INDEX(CATALOGOS!$H$3:$H$6,MATCH(C161,CATALOGOS!$G$3:$G$6,0)),"")</f>
        <v>Macrociclo</v>
      </c>
      <c r="E161" t="str">
        <f>IFERROR(INDEX(CATALOGOS!$I$3:$I$6,MATCH(C161,CATALOGOS!$G$3:$G$6,0)),"")</f>
        <v>Iniciar / aprender</v>
      </c>
    </row>
    <row r="162" spans="1:5" x14ac:dyDescent="0.2">
      <c r="A162" t="s">
        <v>142</v>
      </c>
      <c r="B162" t="s">
        <v>143</v>
      </c>
      <c r="C162" t="str">
        <f>INDEX(NORMATIVOS!$C$144:$Z$144,1,MATCH($B$3,NORMATIVOS!$C$1:$Z$1,0))</f>
        <v>Consolidado</v>
      </c>
      <c r="D162" t="str">
        <f>IFERROR(INDEX(CATALOGOS!$H$3:$H$6,MATCH(C162,CATALOGOS!$G$3:$G$6,0)),"")</f>
        <v>Microciclo</v>
      </c>
      <c r="E162" t="str">
        <f>IFERROR(INDEX(CATALOGOS!$I$3:$I$6,MATCH(C162,CATALOGOS!$G$3:$G$6,0)),"")</f>
        <v>Mantener / perfeccionar</v>
      </c>
    </row>
    <row r="163" spans="1:5" x14ac:dyDescent="0.2">
      <c r="A163" t="s">
        <v>142</v>
      </c>
      <c r="B163" t="s">
        <v>304</v>
      </c>
      <c r="C163" t="str">
        <f>INDEX(NORMATIVOS!$C$145:$Z$145,1,MATCH($B$3,NORMATIVOS!$C$1:$Z$1,0))</f>
        <v>Consolidado</v>
      </c>
      <c r="D163" t="str">
        <f>IFERROR(INDEX(CATALOGOS!$H$3:$H$6,MATCH(C163,CATALOGOS!$G$3:$G$6,0)),"")</f>
        <v>Microciclo</v>
      </c>
      <c r="E163" t="str">
        <f>IFERROR(INDEX(CATALOGOS!$I$3:$I$6,MATCH(C163,CATALOGOS!$G$3:$G$6,0)),"")</f>
        <v>Mantener / perfeccionar</v>
      </c>
    </row>
    <row r="164" spans="1:5" x14ac:dyDescent="0.2">
      <c r="A164" t="s">
        <v>142</v>
      </c>
      <c r="B164" t="s">
        <v>305</v>
      </c>
      <c r="C164" t="str">
        <f>INDEX(NORMATIVOS!$C$146:$Z$146,1,MATCH($B$3,NORMATIVOS!$C$1:$Z$1,0))</f>
        <v>Consolidado</v>
      </c>
      <c r="D164" t="str">
        <f>IFERROR(INDEX(CATALOGOS!$H$3:$H$6,MATCH(C164,CATALOGOS!$G$3:$G$6,0)),"")</f>
        <v>Microciclo</v>
      </c>
      <c r="E164" t="str">
        <f>IFERROR(INDEX(CATALOGOS!$I$3:$I$6,MATCH(C164,CATALOGOS!$G$3:$G$6,0)),"")</f>
        <v>Mantener / perfeccionar</v>
      </c>
    </row>
    <row r="165" spans="1:5" x14ac:dyDescent="0.2">
      <c r="A165" t="s">
        <v>142</v>
      </c>
      <c r="B165" t="s">
        <v>146</v>
      </c>
      <c r="C165" t="str">
        <f>INDEX(NORMATIVOS!$C$147:$Z$147,1,MATCH($B$3,NORMATIVOS!$C$1:$Z$1,0))</f>
        <v>Consolidado</v>
      </c>
      <c r="D165" t="str">
        <f>IFERROR(INDEX(CATALOGOS!$H$3:$H$6,MATCH(C165,CATALOGOS!$G$3:$G$6,0)),"")</f>
        <v>Microciclo</v>
      </c>
      <c r="E165" t="str">
        <f>IFERROR(INDEX(CATALOGOS!$I$3:$I$6,MATCH(C165,CATALOGOS!$G$3:$G$6,0)),"")</f>
        <v>Mantener / perfeccionar</v>
      </c>
    </row>
    <row r="166" spans="1:5" x14ac:dyDescent="0.2">
      <c r="A166" t="s">
        <v>142</v>
      </c>
      <c r="B166" t="s">
        <v>147</v>
      </c>
      <c r="C166" t="str">
        <f>INDEX(NORMATIVOS!$C$148:$Z$148,1,MATCH($B$3,NORMATIVOS!$C$1:$Z$1,0))</f>
        <v>Consolidado</v>
      </c>
      <c r="D166" t="str">
        <f>IFERROR(INDEX(CATALOGOS!$H$3:$H$6,MATCH(C166,CATALOGOS!$G$3:$G$6,0)),"")</f>
        <v>Microciclo</v>
      </c>
      <c r="E166" t="str">
        <f>IFERROR(INDEX(CATALOGOS!$I$3:$I$6,MATCH(C166,CATALOGOS!$G$3:$G$6,0)),"")</f>
        <v>Mantener / perfeccionar</v>
      </c>
    </row>
    <row r="167" spans="1:5" x14ac:dyDescent="0.2">
      <c r="A167" t="s">
        <v>142</v>
      </c>
      <c r="B167" t="s">
        <v>148</v>
      </c>
      <c r="C167" t="str">
        <f>INDEX(NORMATIVOS!$C$149:$Z$149,1,MATCH($B$3,NORMATIVOS!$C$1:$Z$1,0))</f>
        <v>Consolidado</v>
      </c>
      <c r="D167" t="str">
        <f>IFERROR(INDEX(CATALOGOS!$H$3:$H$6,MATCH(C167,CATALOGOS!$G$3:$G$6,0)),"")</f>
        <v>Microciclo</v>
      </c>
      <c r="E167" t="str">
        <f>IFERROR(INDEX(CATALOGOS!$I$3:$I$6,MATCH(C167,CATALOGOS!$G$3:$G$6,0)),"")</f>
        <v>Mantener / perfeccionar</v>
      </c>
    </row>
    <row r="168" spans="1:5" x14ac:dyDescent="0.2">
      <c r="A168" t="s">
        <v>142</v>
      </c>
      <c r="B168" t="s">
        <v>149</v>
      </c>
      <c r="C168" t="str">
        <f>INDEX(NORMATIVOS!$C$150:$Z$150,1,MATCH($B$3,NORMATIVOS!$C$1:$Z$1,0))</f>
        <v>Consolidado</v>
      </c>
      <c r="D168" t="str">
        <f>IFERROR(INDEX(CATALOGOS!$H$3:$H$6,MATCH(C168,CATALOGOS!$G$3:$G$6,0)),"")</f>
        <v>Microciclo</v>
      </c>
      <c r="E168" t="str">
        <f>IFERROR(INDEX(CATALOGOS!$I$3:$I$6,MATCH(C168,CATALOGOS!$G$3:$G$6,0)),"")</f>
        <v>Mantener / perfeccionar</v>
      </c>
    </row>
    <row r="169" spans="1:5" x14ac:dyDescent="0.2">
      <c r="A169" t="s">
        <v>150</v>
      </c>
      <c r="B169" t="s">
        <v>151</v>
      </c>
      <c r="C169" t="str">
        <f>INDEX(NORMATIVOS!$C$151:$Z$151,1,MATCH($B$3,NORMATIVOS!$C$1:$Z$1,0))</f>
        <v>Consolidado</v>
      </c>
      <c r="D169" t="str">
        <f>IFERROR(INDEX(CATALOGOS!$H$3:$H$6,MATCH(C169,CATALOGOS!$G$3:$G$6,0)),"")</f>
        <v>Microciclo</v>
      </c>
      <c r="E169" t="str">
        <f>IFERROR(INDEX(CATALOGOS!$I$3:$I$6,MATCH(C169,CATALOGOS!$G$3:$G$6,0)),"")</f>
        <v>Mantener / perfeccionar</v>
      </c>
    </row>
    <row r="170" spans="1:5" x14ac:dyDescent="0.2">
      <c r="A170" t="s">
        <v>150</v>
      </c>
      <c r="B170" t="s">
        <v>21</v>
      </c>
      <c r="C170" t="str">
        <f>INDEX(NORMATIVOS!$C$152:$Z$152,1,MATCH($B$3,NORMATIVOS!$C$1:$Z$1,0))</f>
        <v>Consolidado</v>
      </c>
      <c r="D170" t="str">
        <f>IFERROR(INDEX(CATALOGOS!$H$3:$H$6,MATCH(C170,CATALOGOS!$G$3:$G$6,0)),"")</f>
        <v>Microciclo</v>
      </c>
      <c r="E170" t="str">
        <f>IFERROR(INDEX(CATALOGOS!$I$3:$I$6,MATCH(C170,CATALOGOS!$G$3:$G$6,0)),"")</f>
        <v>Mantener / perfeccionar</v>
      </c>
    </row>
    <row r="171" spans="1:5" x14ac:dyDescent="0.2">
      <c r="A171" t="s">
        <v>150</v>
      </c>
      <c r="B171" t="s">
        <v>152</v>
      </c>
      <c r="C171" t="str">
        <f>INDEX(NORMATIVOS!$C$153:$Z$153,1,MATCH($B$3,NORMATIVOS!$C$1:$Z$1,0))</f>
        <v>Consolidado</v>
      </c>
      <c r="D171" t="str">
        <f>IFERROR(INDEX(CATALOGOS!$H$3:$H$6,MATCH(C171,CATALOGOS!$G$3:$G$6,0)),"")</f>
        <v>Microciclo</v>
      </c>
      <c r="E171" t="str">
        <f>IFERROR(INDEX(CATALOGOS!$I$3:$I$6,MATCH(C171,CATALOGOS!$G$3:$G$6,0)),"")</f>
        <v>Mantener / perfeccionar</v>
      </c>
    </row>
    <row r="172" spans="1:5" x14ac:dyDescent="0.2">
      <c r="A172" t="s">
        <v>150</v>
      </c>
      <c r="B172" t="s">
        <v>153</v>
      </c>
      <c r="C172" t="str">
        <f>INDEX(NORMATIVOS!$C$154:$Z$154,1,MATCH($B$3,NORMATIVOS!$C$1:$Z$1,0))</f>
        <v>Consolidado</v>
      </c>
      <c r="D172" t="str">
        <f>IFERROR(INDEX(CATALOGOS!$H$3:$H$6,MATCH(C172,CATALOGOS!$G$3:$G$6,0)),"")</f>
        <v>Microciclo</v>
      </c>
      <c r="E172" t="str">
        <f>IFERROR(INDEX(CATALOGOS!$I$3:$I$6,MATCH(C172,CATALOGOS!$G$3:$G$6,0)),"")</f>
        <v>Mantener / perfeccionar</v>
      </c>
    </row>
    <row r="173" spans="1:5" x14ac:dyDescent="0.2">
      <c r="A173" t="s">
        <v>150</v>
      </c>
      <c r="B173" t="s">
        <v>154</v>
      </c>
      <c r="C173" t="str">
        <f>INDEX(NORMATIVOS!$C$155:$Z$155,1,MATCH($B$3,NORMATIVOS!$C$1:$Z$1,0))</f>
        <v>En proceso</v>
      </c>
      <c r="D173" t="str">
        <f>IFERROR(INDEX(CATALOGOS!$H$3:$H$6,MATCH(C173,CATALOGOS!$G$3:$G$6,0)),"")</f>
        <v>Mesociclo</v>
      </c>
      <c r="E173" t="str">
        <f>IFERROR(INDEX(CATALOGOS!$I$3:$I$6,MATCH(C173,CATALOGOS!$G$3:$G$6,0)),"")</f>
        <v>Desarrollar / consolidar</v>
      </c>
    </row>
    <row r="174" spans="1:5" x14ac:dyDescent="0.2">
      <c r="A174" t="s">
        <v>150</v>
      </c>
      <c r="B174" t="s">
        <v>155</v>
      </c>
      <c r="C174" t="str">
        <f>INDEX(NORMATIVOS!$C$156:$Z$156,1,MATCH($B$3,NORMATIVOS!$C$1:$Z$1,0))</f>
        <v>En proceso</v>
      </c>
      <c r="D174" t="str">
        <f>IFERROR(INDEX(CATALOGOS!$H$3:$H$6,MATCH(C174,CATALOGOS!$G$3:$G$6,0)),"")</f>
        <v>Mesociclo</v>
      </c>
      <c r="E174" t="str">
        <f>IFERROR(INDEX(CATALOGOS!$I$3:$I$6,MATCH(C174,CATALOGOS!$G$3:$G$6,0)),"")</f>
        <v>Desarrollar / consolidar</v>
      </c>
    </row>
    <row r="175" spans="1:5" x14ac:dyDescent="0.2">
      <c r="A175" t="s">
        <v>150</v>
      </c>
      <c r="B175" t="s">
        <v>156</v>
      </c>
      <c r="C175" t="str">
        <f>INDEX(NORMATIVOS!$C$157:$Z$157,1,MATCH($B$3,NORMATIVOS!$C$1:$Z$1,0))</f>
        <v>En proceso</v>
      </c>
      <c r="D175" t="str">
        <f>IFERROR(INDEX(CATALOGOS!$H$3:$H$6,MATCH(C175,CATALOGOS!$G$3:$G$6,0)),"")</f>
        <v>Mesociclo</v>
      </c>
      <c r="E175" t="str">
        <f>IFERROR(INDEX(CATALOGOS!$I$3:$I$6,MATCH(C175,CATALOGOS!$G$3:$G$6,0)),"")</f>
        <v>Desarrollar / consolidar</v>
      </c>
    </row>
    <row r="176" spans="1:5" x14ac:dyDescent="0.2">
      <c r="A176" t="s">
        <v>150</v>
      </c>
      <c r="B176" t="s">
        <v>157</v>
      </c>
      <c r="C176" t="str">
        <f>INDEX(NORMATIVOS!$C$158:$Z$158,1,MATCH($B$3,NORMATIVOS!$C$1:$Z$1,0))</f>
        <v>Proyección</v>
      </c>
      <c r="D176" t="str">
        <f>IFERROR(INDEX(CATALOGOS!$H$3:$H$6,MATCH(C176,CATALOGOS!$G$3:$G$6,0)),"")</f>
        <v>Macrociclo</v>
      </c>
      <c r="E176" t="str">
        <f>IFERROR(INDEX(CATALOGOS!$I$3:$I$6,MATCH(C176,CATALOGOS!$G$3:$G$6,0)),"")</f>
        <v>Iniciar / aprender</v>
      </c>
    </row>
    <row r="177" spans="1:5" x14ac:dyDescent="0.2">
      <c r="A177" t="s">
        <v>150</v>
      </c>
      <c r="B177" t="s">
        <v>306</v>
      </c>
      <c r="C177" t="str">
        <f>INDEX(NORMATIVOS!$C$159:$Z$159,1,MATCH($B$3,NORMATIVOS!$C$1:$Z$1,0))</f>
        <v>Proyección</v>
      </c>
      <c r="D177" t="str">
        <f>IFERROR(INDEX(CATALOGOS!$H$3:$H$6,MATCH(C177,CATALOGOS!$G$3:$G$6,0)),"")</f>
        <v>Macrociclo</v>
      </c>
      <c r="E177" t="str">
        <f>IFERROR(INDEX(CATALOGOS!$I$3:$I$6,MATCH(C177,CATALOGOS!$G$3:$G$6,0)),"")</f>
        <v>Iniciar / aprender</v>
      </c>
    </row>
    <row r="178" spans="1:5" x14ac:dyDescent="0.2">
      <c r="A178" t="s">
        <v>150</v>
      </c>
      <c r="B178" t="s">
        <v>159</v>
      </c>
      <c r="C178" t="str">
        <f>INDEX(NORMATIVOS!$C$160:$Z$160,1,MATCH($B$3,NORMATIVOS!$C$1:$Z$1,0))</f>
        <v>Proyección</v>
      </c>
      <c r="D178" t="str">
        <f>IFERROR(INDEX(CATALOGOS!$H$3:$H$6,MATCH(C178,CATALOGOS!$G$3:$G$6,0)),"")</f>
        <v>Macrociclo</v>
      </c>
      <c r="E178" t="str">
        <f>IFERROR(INDEX(CATALOGOS!$I$3:$I$6,MATCH(C178,CATALOGOS!$G$3:$G$6,0)),"")</f>
        <v>Iniciar / aprender</v>
      </c>
    </row>
    <row r="179" spans="1:5" x14ac:dyDescent="0.2">
      <c r="A179" t="s">
        <v>150</v>
      </c>
      <c r="B179" t="s">
        <v>160</v>
      </c>
      <c r="C179" t="str">
        <f>INDEX(NORMATIVOS!$C$161:$Z$161,1,MATCH($B$3,NORMATIVOS!$C$1:$Z$1,0))</f>
        <v>Proyección</v>
      </c>
      <c r="D179" t="str">
        <f>IFERROR(INDEX(CATALOGOS!$H$3:$H$6,MATCH(C179,CATALOGOS!$G$3:$G$6,0)),"")</f>
        <v>Macrociclo</v>
      </c>
      <c r="E179" t="str">
        <f>IFERROR(INDEX(CATALOGOS!$I$3:$I$6,MATCH(C179,CATALOGOS!$G$3:$G$6,0)),"")</f>
        <v>Iniciar / aprender</v>
      </c>
    </row>
    <row r="180" spans="1:5" x14ac:dyDescent="0.2">
      <c r="A180" t="s">
        <v>150</v>
      </c>
      <c r="B180" t="s">
        <v>161</v>
      </c>
      <c r="C180" t="str">
        <f>INDEX(NORMATIVOS!$C$162:$Z$162,1,MATCH($B$3,NORMATIVOS!$C$1:$Z$1,0))</f>
        <v>Proyección</v>
      </c>
      <c r="D180" t="str">
        <f>IFERROR(INDEX(CATALOGOS!$H$3:$H$6,MATCH(C180,CATALOGOS!$G$3:$G$6,0)),"")</f>
        <v>Macrociclo</v>
      </c>
      <c r="E180" t="str">
        <f>IFERROR(INDEX(CATALOGOS!$I$3:$I$6,MATCH(C180,CATALOGOS!$G$3:$G$6,0)),"")</f>
        <v>Iniciar / aprender</v>
      </c>
    </row>
    <row r="181" spans="1:5" x14ac:dyDescent="0.2">
      <c r="A181" t="s">
        <v>150</v>
      </c>
      <c r="B181" t="s">
        <v>162</v>
      </c>
      <c r="C181" t="str">
        <f>INDEX(NORMATIVOS!$C$163:$Z$163,1,MATCH($B$3,NORMATIVOS!$C$1:$Z$1,0))</f>
        <v>Proyección</v>
      </c>
      <c r="D181" t="str">
        <f>IFERROR(INDEX(CATALOGOS!$H$3:$H$6,MATCH(C181,CATALOGOS!$G$3:$G$6,0)),"")</f>
        <v>Macrociclo</v>
      </c>
      <c r="E181" t="str">
        <f>IFERROR(INDEX(CATALOGOS!$I$3:$I$6,MATCH(C181,CATALOGOS!$G$3:$G$6,0)),"")</f>
        <v>Iniciar / aprender</v>
      </c>
    </row>
    <row r="182" spans="1:5" x14ac:dyDescent="0.2">
      <c r="A182" t="s">
        <v>150</v>
      </c>
      <c r="B182" t="s">
        <v>163</v>
      </c>
      <c r="C182" t="str">
        <f>INDEX(NORMATIVOS!$C$164:$Z$164,1,MATCH($B$3,NORMATIVOS!$C$1:$Z$1,0))</f>
        <v>Proyección</v>
      </c>
      <c r="D182" t="str">
        <f>IFERROR(INDEX(CATALOGOS!$H$3:$H$6,MATCH(C182,CATALOGOS!$G$3:$G$6,0)),"")</f>
        <v>Macrociclo</v>
      </c>
      <c r="E182" t="str">
        <f>IFERROR(INDEX(CATALOGOS!$I$3:$I$6,MATCH(C182,CATALOGOS!$G$3:$G$6,0)),"")</f>
        <v>Iniciar / aprender</v>
      </c>
    </row>
    <row r="183" spans="1:5" x14ac:dyDescent="0.2">
      <c r="A183" t="s">
        <v>150</v>
      </c>
      <c r="B183" t="s">
        <v>164</v>
      </c>
      <c r="C183" t="str">
        <f>INDEX(NORMATIVOS!$C$165:$Z$165,1,MATCH($B$3,NORMATIVOS!$C$1:$Z$1,0))</f>
        <v>Proyección</v>
      </c>
      <c r="D183" t="str">
        <f>IFERROR(INDEX(CATALOGOS!$H$3:$H$6,MATCH(C183,CATALOGOS!$G$3:$G$6,0)),"")</f>
        <v>Macrociclo</v>
      </c>
      <c r="E183" t="str">
        <f>IFERROR(INDEX(CATALOGOS!$I$3:$I$6,MATCH(C183,CATALOGOS!$G$3:$G$6,0)),"")</f>
        <v>Iniciar / aprender</v>
      </c>
    </row>
    <row r="184" spans="1:5" x14ac:dyDescent="0.2">
      <c r="A184" t="s">
        <v>150</v>
      </c>
      <c r="B184" t="s">
        <v>165</v>
      </c>
      <c r="C184" t="str">
        <f>INDEX(NORMATIVOS!$C$166:$Z$166,1,MATCH($B$3,NORMATIVOS!$C$1:$Z$1,0))</f>
        <v>Proyección</v>
      </c>
      <c r="D184" t="str">
        <f>IFERROR(INDEX(CATALOGOS!$H$3:$H$6,MATCH(C184,CATALOGOS!$G$3:$G$6,0)),"")</f>
        <v>Macrociclo</v>
      </c>
      <c r="E184" t="str">
        <f>IFERROR(INDEX(CATALOGOS!$I$3:$I$6,MATCH(C184,CATALOGOS!$G$3:$G$6,0)),"")</f>
        <v>Iniciar / aprender</v>
      </c>
    </row>
    <row r="185" spans="1:5" x14ac:dyDescent="0.2">
      <c r="A185" t="s">
        <v>150</v>
      </c>
      <c r="B185" t="s">
        <v>166</v>
      </c>
      <c r="C185" t="str">
        <f>INDEX(NORMATIVOS!$C$167:$Z$167,1,MATCH($B$3,NORMATIVOS!$C$1:$Z$1,0))</f>
        <v>Proyección</v>
      </c>
      <c r="D185" t="str">
        <f>IFERROR(INDEX(CATALOGOS!$H$3:$H$6,MATCH(C185,CATALOGOS!$G$3:$G$6,0)),"")</f>
        <v>Macrociclo</v>
      </c>
      <c r="E185" t="str">
        <f>IFERROR(INDEX(CATALOGOS!$I$3:$I$6,MATCH(C185,CATALOGOS!$G$3:$G$6,0)),"")</f>
        <v>Iniciar / aprender</v>
      </c>
    </row>
    <row r="186" spans="1:5" x14ac:dyDescent="0.2">
      <c r="A186" t="s">
        <v>150</v>
      </c>
      <c r="B186" t="s">
        <v>167</v>
      </c>
      <c r="C186" t="str">
        <f>INDEX(NORMATIVOS!$C$168:$Z$168,1,MATCH($B$3,NORMATIVOS!$C$1:$Z$1,0))</f>
        <v>Proyección</v>
      </c>
      <c r="D186" t="str">
        <f>IFERROR(INDEX(CATALOGOS!$H$3:$H$6,MATCH(C186,CATALOGOS!$G$3:$G$6,0)),"")</f>
        <v>Macrociclo</v>
      </c>
      <c r="E186" t="str">
        <f>IFERROR(INDEX(CATALOGOS!$I$3:$I$6,MATCH(C186,CATALOGOS!$G$3:$G$6,0)),"")</f>
        <v>Iniciar / aprender</v>
      </c>
    </row>
    <row r="187" spans="1:5" x14ac:dyDescent="0.2">
      <c r="A187" t="s">
        <v>150</v>
      </c>
      <c r="B187" t="s">
        <v>168</v>
      </c>
      <c r="C187" t="str">
        <f>INDEX(NORMATIVOS!$C$169:$Z$169,1,MATCH($B$3,NORMATIVOS!$C$1:$Z$1,0))</f>
        <v>Proyección</v>
      </c>
      <c r="D187" t="str">
        <f>IFERROR(INDEX(CATALOGOS!$H$3:$H$6,MATCH(C187,CATALOGOS!$G$3:$G$6,0)),"")</f>
        <v>Macrociclo</v>
      </c>
      <c r="E187" t="str">
        <f>IFERROR(INDEX(CATALOGOS!$I$3:$I$6,MATCH(C187,CATALOGOS!$G$3:$G$6,0)),"")</f>
        <v>Iniciar / aprender</v>
      </c>
    </row>
    <row r="188" spans="1:5" x14ac:dyDescent="0.2">
      <c r="A188" t="s">
        <v>150</v>
      </c>
      <c r="B188" t="s">
        <v>169</v>
      </c>
      <c r="C188" t="str">
        <f>INDEX(NORMATIVOS!$C$170:$Z$170,1,MATCH($B$3,NORMATIVOS!$C$1:$Z$1,0))</f>
        <v>Proyección</v>
      </c>
      <c r="D188" t="str">
        <f>IFERROR(INDEX(CATALOGOS!$H$3:$H$6,MATCH(C188,CATALOGOS!$G$3:$G$6,0)),"")</f>
        <v>Macrociclo</v>
      </c>
      <c r="E188" t="str">
        <f>IFERROR(INDEX(CATALOGOS!$I$3:$I$6,MATCH(C188,CATALOGOS!$G$3:$G$6,0)),"")</f>
        <v>Iniciar / aprender</v>
      </c>
    </row>
    <row r="189" spans="1:5" x14ac:dyDescent="0.2">
      <c r="A189" t="s">
        <v>150</v>
      </c>
      <c r="B189" t="s">
        <v>170</v>
      </c>
      <c r="C189" t="str">
        <f>INDEX(NORMATIVOS!$C$171:$Z$171,1,MATCH($B$3,NORMATIVOS!$C$1:$Z$1,0))</f>
        <v>Proyección</v>
      </c>
      <c r="D189" t="str">
        <f>IFERROR(INDEX(CATALOGOS!$H$3:$H$6,MATCH(C189,CATALOGOS!$G$3:$G$6,0)),"")</f>
        <v>Macrociclo</v>
      </c>
      <c r="E189" t="str">
        <f>IFERROR(INDEX(CATALOGOS!$I$3:$I$6,MATCH(C189,CATALOGOS!$G$3:$G$6,0)),"")</f>
        <v>Iniciar / aprender</v>
      </c>
    </row>
    <row r="190" spans="1:5" x14ac:dyDescent="0.2">
      <c r="A190" t="s">
        <v>150</v>
      </c>
      <c r="B190" t="s">
        <v>171</v>
      </c>
      <c r="C190" t="str">
        <f>INDEX(NORMATIVOS!$C$172:$Z$172,1,MATCH($B$3,NORMATIVOS!$C$1:$Z$1,0))</f>
        <v>Proyección</v>
      </c>
      <c r="D190" t="str">
        <f>IFERROR(INDEX(CATALOGOS!$H$3:$H$6,MATCH(C190,CATALOGOS!$G$3:$G$6,0)),"")</f>
        <v>Macrociclo</v>
      </c>
      <c r="E190" t="str">
        <f>IFERROR(INDEX(CATALOGOS!$I$3:$I$6,MATCH(C190,CATALOGOS!$G$3:$G$6,0)),"")</f>
        <v>Iniciar / aprender</v>
      </c>
    </row>
    <row r="191" spans="1:5" x14ac:dyDescent="0.2">
      <c r="A191" t="s">
        <v>278</v>
      </c>
      <c r="B191" t="s">
        <v>174</v>
      </c>
      <c r="C191" t="str">
        <f>INDEX(NORMATIVOS!$C$175:$Z$175,1,MATCH($B$3,NORMATIVOS!$C$1:$Z$1,0))</f>
        <v>Consolidado</v>
      </c>
      <c r="D191" t="str">
        <f>IFERROR(INDEX(CATALOGOS!$H$3:$H$6,MATCH(C191,CATALOGOS!$G$3:$G$6,0)),"")</f>
        <v>Microciclo</v>
      </c>
      <c r="E191" t="str">
        <f>IFERROR(INDEX(CATALOGOS!$I$3:$I$6,MATCH(C191,CATALOGOS!$G$3:$G$6,0)),"")</f>
        <v>Mantener / perfeccionar</v>
      </c>
    </row>
    <row r="192" spans="1:5" x14ac:dyDescent="0.2">
      <c r="A192" t="s">
        <v>278</v>
      </c>
      <c r="B192" t="s">
        <v>307</v>
      </c>
      <c r="C192" t="str">
        <f>INDEX(NORMATIVOS!$C$176:$Z$176,1,MATCH($B$3,NORMATIVOS!$C$1:$Z$1,0))</f>
        <v>Consolidado</v>
      </c>
      <c r="D192" t="str">
        <f>IFERROR(INDEX(CATALOGOS!$H$3:$H$6,MATCH(C192,CATALOGOS!$G$3:$G$6,0)),"")</f>
        <v>Microciclo</v>
      </c>
      <c r="E192" t="str">
        <f>IFERROR(INDEX(CATALOGOS!$I$3:$I$6,MATCH(C192,CATALOGOS!$G$3:$G$6,0)),"")</f>
        <v>Mantener / perfeccionar</v>
      </c>
    </row>
    <row r="193" spans="1:5" x14ac:dyDescent="0.2">
      <c r="A193" t="s">
        <v>278</v>
      </c>
      <c r="B193" t="s">
        <v>308</v>
      </c>
      <c r="C193" t="str">
        <f>INDEX(NORMATIVOS!$C$177:$Z$177,1,MATCH($B$3,NORMATIVOS!$C$1:$Z$1,0))</f>
        <v>Consolidado</v>
      </c>
      <c r="D193" t="str">
        <f>IFERROR(INDEX(CATALOGOS!$H$3:$H$6,MATCH(C193,CATALOGOS!$G$3:$G$6,0)),"")</f>
        <v>Microciclo</v>
      </c>
      <c r="E193" t="str">
        <f>IFERROR(INDEX(CATALOGOS!$I$3:$I$6,MATCH(C193,CATALOGOS!$G$3:$G$6,0)),"")</f>
        <v>Mantener / perfeccionar</v>
      </c>
    </row>
    <row r="194" spans="1:5" x14ac:dyDescent="0.2">
      <c r="A194" t="s">
        <v>278</v>
      </c>
      <c r="B194" t="s">
        <v>177</v>
      </c>
      <c r="C194" t="str">
        <f>INDEX(NORMATIVOS!$C$178:$Z$178,1,MATCH($B$3,NORMATIVOS!$C$1:$Z$1,0))</f>
        <v>Consolidado</v>
      </c>
      <c r="D194" t="str">
        <f>IFERROR(INDEX(CATALOGOS!$H$3:$H$6,MATCH(C194,CATALOGOS!$G$3:$G$6,0)),"")</f>
        <v>Microciclo</v>
      </c>
      <c r="E194" t="str">
        <f>IFERROR(INDEX(CATALOGOS!$I$3:$I$6,MATCH(C194,CATALOGOS!$G$3:$G$6,0)),"")</f>
        <v>Mantener / perfeccionar</v>
      </c>
    </row>
    <row r="195" spans="1:5" x14ac:dyDescent="0.2">
      <c r="A195" t="s">
        <v>278</v>
      </c>
      <c r="B195" t="s">
        <v>178</v>
      </c>
      <c r="C195" t="str">
        <f>INDEX(NORMATIVOS!$C$179:$Z$179,1,MATCH($B$3,NORMATIVOS!$C$1:$Z$1,0))</f>
        <v>Consolidado</v>
      </c>
      <c r="D195" t="str">
        <f>IFERROR(INDEX(CATALOGOS!$H$3:$H$6,MATCH(C195,CATALOGOS!$G$3:$G$6,0)),"")</f>
        <v>Microciclo</v>
      </c>
      <c r="E195" t="str">
        <f>IFERROR(INDEX(CATALOGOS!$I$3:$I$6,MATCH(C195,CATALOGOS!$G$3:$G$6,0)),"")</f>
        <v>Mantener / perfeccionar</v>
      </c>
    </row>
    <row r="196" spans="1:5" x14ac:dyDescent="0.2">
      <c r="A196" t="s">
        <v>278</v>
      </c>
      <c r="B196" t="s">
        <v>124</v>
      </c>
      <c r="C196" t="str">
        <f>INDEX(NORMATIVOS!$C$180:$Z$180,1,MATCH($B$3,NORMATIVOS!$C$1:$Z$1,0))</f>
        <v>Consolidado</v>
      </c>
      <c r="D196" t="str">
        <f>IFERROR(INDEX(CATALOGOS!$H$3:$H$6,MATCH(C196,CATALOGOS!$G$3:$G$6,0)),"")</f>
        <v>Microciclo</v>
      </c>
      <c r="E196" t="str">
        <f>IFERROR(INDEX(CATALOGOS!$I$3:$I$6,MATCH(C196,CATALOGOS!$G$3:$G$6,0)),"")</f>
        <v>Mantener / perfeccionar</v>
      </c>
    </row>
    <row r="197" spans="1:5" x14ac:dyDescent="0.2">
      <c r="A197" t="s">
        <v>278</v>
      </c>
      <c r="B197" t="s">
        <v>179</v>
      </c>
      <c r="C197" t="str">
        <f>INDEX(NORMATIVOS!$C$181:$Z$181,1,MATCH($B$3,NORMATIVOS!$C$1:$Z$1,0))</f>
        <v>Consolidado</v>
      </c>
      <c r="D197" t="str">
        <f>IFERROR(INDEX(CATALOGOS!$H$3:$H$6,MATCH(C197,CATALOGOS!$G$3:$G$6,0)),"")</f>
        <v>Microciclo</v>
      </c>
      <c r="E197" t="str">
        <f>IFERROR(INDEX(CATALOGOS!$I$3:$I$6,MATCH(C197,CATALOGOS!$G$3:$G$6,0)),"")</f>
        <v>Mantener / perfeccionar</v>
      </c>
    </row>
    <row r="198" spans="1:5" x14ac:dyDescent="0.2">
      <c r="A198" t="s">
        <v>278</v>
      </c>
      <c r="B198" t="s">
        <v>180</v>
      </c>
      <c r="C198" t="str">
        <f>INDEX(NORMATIVOS!$C$182:$Z$182,1,MATCH($B$3,NORMATIVOS!$C$1:$Z$1,0))</f>
        <v>Consolidado</v>
      </c>
      <c r="D198" t="str">
        <f>IFERROR(INDEX(CATALOGOS!$H$3:$H$6,MATCH(C198,CATALOGOS!$G$3:$G$6,0)),"")</f>
        <v>Microciclo</v>
      </c>
      <c r="E198" t="str">
        <f>IFERROR(INDEX(CATALOGOS!$I$3:$I$6,MATCH(C198,CATALOGOS!$G$3:$G$6,0)),"")</f>
        <v>Mantener / perfeccionar</v>
      </c>
    </row>
    <row r="199" spans="1:5" x14ac:dyDescent="0.2">
      <c r="A199" t="s">
        <v>278</v>
      </c>
      <c r="B199" t="s">
        <v>181</v>
      </c>
      <c r="C199" t="str">
        <f>INDEX(NORMATIVOS!$C$183:$Z$183,1,MATCH($B$3,NORMATIVOS!$C$1:$Z$1,0))</f>
        <v>Consolidado</v>
      </c>
      <c r="D199" t="str">
        <f>IFERROR(INDEX(CATALOGOS!$H$3:$H$6,MATCH(C199,CATALOGOS!$G$3:$G$6,0)),"")</f>
        <v>Microciclo</v>
      </c>
      <c r="E199" t="str">
        <f>IFERROR(INDEX(CATALOGOS!$I$3:$I$6,MATCH(C199,CATALOGOS!$G$3:$G$6,0)),"")</f>
        <v>Mantener / perfeccionar</v>
      </c>
    </row>
    <row r="200" spans="1:5" x14ac:dyDescent="0.2">
      <c r="A200" t="s">
        <v>278</v>
      </c>
      <c r="B200" t="s">
        <v>182</v>
      </c>
      <c r="C200" t="str">
        <f>INDEX(NORMATIVOS!$C$184:$Z$184,1,MATCH($B$3,NORMATIVOS!$C$1:$Z$1,0))</f>
        <v>Proyección</v>
      </c>
      <c r="D200" t="str">
        <f>IFERROR(INDEX(CATALOGOS!$H$3:$H$6,MATCH(C200,CATALOGOS!$G$3:$G$6,0)),"")</f>
        <v>Macrociclo</v>
      </c>
      <c r="E200" t="str">
        <f>IFERROR(INDEX(CATALOGOS!$I$3:$I$6,MATCH(C200,CATALOGOS!$G$3:$G$6,0)),"")</f>
        <v>Iniciar / aprender</v>
      </c>
    </row>
    <row r="201" spans="1:5" x14ac:dyDescent="0.2">
      <c r="A201" t="s">
        <v>278</v>
      </c>
      <c r="B201" t="s">
        <v>183</v>
      </c>
      <c r="C201" t="str">
        <f>INDEX(NORMATIVOS!$C$185:$Z$185,1,MATCH($B$3,NORMATIVOS!$C$1:$Z$1,0))</f>
        <v>Proyección</v>
      </c>
      <c r="D201" t="str">
        <f>IFERROR(INDEX(CATALOGOS!$H$3:$H$6,MATCH(C201,CATALOGOS!$G$3:$G$6,0)),"")</f>
        <v>Macrociclo</v>
      </c>
      <c r="E201" t="str">
        <f>IFERROR(INDEX(CATALOGOS!$I$3:$I$6,MATCH(C201,CATALOGOS!$G$3:$G$6,0)),"")</f>
        <v>Iniciar / aprender</v>
      </c>
    </row>
    <row r="202" spans="1:5" x14ac:dyDescent="0.2">
      <c r="A202" t="s">
        <v>278</v>
      </c>
      <c r="B202" t="s">
        <v>184</v>
      </c>
      <c r="C202" t="str">
        <f>INDEX(NORMATIVOS!$C$186:$Z$186,1,MATCH($B$3,NORMATIVOS!$C$1:$Z$1,0))</f>
        <v>Proyección</v>
      </c>
      <c r="D202" t="str">
        <f>IFERROR(INDEX(CATALOGOS!$H$3:$H$6,MATCH(C202,CATALOGOS!$G$3:$G$6,0)),"")</f>
        <v>Macrociclo</v>
      </c>
      <c r="E202" t="str">
        <f>IFERROR(INDEX(CATALOGOS!$I$3:$I$6,MATCH(C202,CATALOGOS!$G$3:$G$6,0)),"")</f>
        <v>Iniciar / aprender</v>
      </c>
    </row>
    <row r="203" spans="1:5" x14ac:dyDescent="0.2">
      <c r="A203" t="s">
        <v>278</v>
      </c>
      <c r="B203" t="s">
        <v>135</v>
      </c>
      <c r="C203" t="str">
        <f>INDEX(NORMATIVOS!$C$187:$Z$187,1,MATCH($B$3,NORMATIVOS!$C$1:$Z$1,0))</f>
        <v>Proyección</v>
      </c>
      <c r="D203" t="str">
        <f>IFERROR(INDEX(CATALOGOS!$H$3:$H$6,MATCH(C203,CATALOGOS!$G$3:$G$6,0)),"")</f>
        <v>Macrociclo</v>
      </c>
      <c r="E203" t="str">
        <f>IFERROR(INDEX(CATALOGOS!$I$3:$I$6,MATCH(C203,CATALOGOS!$G$3:$G$6,0)),"")</f>
        <v>Iniciar / aprender</v>
      </c>
    </row>
    <row r="204" spans="1:5" x14ac:dyDescent="0.2">
      <c r="A204" t="s">
        <v>278</v>
      </c>
      <c r="B204" t="s">
        <v>185</v>
      </c>
      <c r="C204" t="str">
        <f>INDEX(NORMATIVOS!$C$188:$Z$188,1,MATCH($B$3,NORMATIVOS!$C$1:$Z$1,0))</f>
        <v>Proyección</v>
      </c>
      <c r="D204" t="str">
        <f>IFERROR(INDEX(CATALOGOS!$H$3:$H$6,MATCH(C204,CATALOGOS!$G$3:$G$6,0)),"")</f>
        <v>Macrociclo</v>
      </c>
      <c r="E204" t="str">
        <f>IFERROR(INDEX(CATALOGOS!$I$3:$I$6,MATCH(C204,CATALOGOS!$G$3:$G$6,0)),"")</f>
        <v>Iniciar / aprender</v>
      </c>
    </row>
    <row r="205" spans="1:5" x14ac:dyDescent="0.2">
      <c r="A205" t="s">
        <v>278</v>
      </c>
      <c r="B205" t="s">
        <v>186</v>
      </c>
      <c r="C205" t="str">
        <f>INDEX(NORMATIVOS!$C$189:$Z$189,1,MATCH($B$3,NORMATIVOS!$C$1:$Z$1,0))</f>
        <v>Proyección</v>
      </c>
      <c r="D205" t="str">
        <f>IFERROR(INDEX(CATALOGOS!$H$3:$H$6,MATCH(C205,CATALOGOS!$G$3:$G$6,0)),"")</f>
        <v>Macrociclo</v>
      </c>
      <c r="E205" t="str">
        <f>IFERROR(INDEX(CATALOGOS!$I$3:$I$6,MATCH(C205,CATALOGOS!$G$3:$G$6,0)),"")</f>
        <v>Iniciar / aprender</v>
      </c>
    </row>
    <row r="206" spans="1:5" x14ac:dyDescent="0.2">
      <c r="A206" t="s">
        <v>278</v>
      </c>
      <c r="B206" t="s">
        <v>187</v>
      </c>
      <c r="C206" t="str">
        <f>INDEX(NORMATIVOS!$C$190:$Z$190,1,MATCH($B$3,NORMATIVOS!$C$1:$Z$1,0))</f>
        <v>Proyección</v>
      </c>
      <c r="D206" t="str">
        <f>IFERROR(INDEX(CATALOGOS!$H$3:$H$6,MATCH(C206,CATALOGOS!$G$3:$G$6,0)),"")</f>
        <v>Macrociclo</v>
      </c>
      <c r="E206" t="str">
        <f>IFERROR(INDEX(CATALOGOS!$I$3:$I$6,MATCH(C206,CATALOGOS!$G$3:$G$6,0)),"")</f>
        <v>Iniciar / aprender</v>
      </c>
    </row>
    <row r="207" spans="1:5" x14ac:dyDescent="0.2">
      <c r="A207" t="s">
        <v>278</v>
      </c>
      <c r="B207" t="s">
        <v>188</v>
      </c>
      <c r="C207" t="str">
        <f>INDEX(NORMATIVOS!$C$191:$Z$191,1,MATCH($B$3,NORMATIVOS!$C$1:$Z$1,0))</f>
        <v>Proyección</v>
      </c>
      <c r="D207" t="str">
        <f>IFERROR(INDEX(CATALOGOS!$H$3:$H$6,MATCH(C207,CATALOGOS!$G$3:$G$6,0)),"")</f>
        <v>Macrociclo</v>
      </c>
      <c r="E207" t="str">
        <f>IFERROR(INDEX(CATALOGOS!$I$3:$I$6,MATCH(C207,CATALOGOS!$G$3:$G$6,0)),"")</f>
        <v>Iniciar / aprender</v>
      </c>
    </row>
    <row r="208" spans="1:5" x14ac:dyDescent="0.2">
      <c r="A208" t="s">
        <v>278</v>
      </c>
      <c r="B208" t="s">
        <v>189</v>
      </c>
      <c r="C208" t="str">
        <f>INDEX(NORMATIVOS!$C$192:$Z$192,1,MATCH($B$3,NORMATIVOS!$C$1:$Z$1,0))</f>
        <v>Proyección</v>
      </c>
      <c r="D208" t="str">
        <f>IFERROR(INDEX(CATALOGOS!$H$3:$H$6,MATCH(C208,CATALOGOS!$G$3:$G$6,0)),"")</f>
        <v>Macrociclo</v>
      </c>
      <c r="E208" t="str">
        <f>IFERROR(INDEX(CATALOGOS!$I$3:$I$6,MATCH(C208,CATALOGOS!$G$3:$G$6,0)),"")</f>
        <v>Iniciar / aprender</v>
      </c>
    </row>
    <row r="209" spans="1:5" x14ac:dyDescent="0.2">
      <c r="A209" t="s">
        <v>190</v>
      </c>
      <c r="B209" t="s">
        <v>191</v>
      </c>
      <c r="C209" t="str">
        <f>INDEX(NORMATIVOS!$C$193:$Z$193,1,MATCH($B$3,NORMATIVOS!$C$1:$Z$1,0))</f>
        <v>Consolidado</v>
      </c>
      <c r="D209" t="str">
        <f>IFERROR(INDEX(CATALOGOS!$H$3:$H$6,MATCH(C209,CATALOGOS!$G$3:$G$6,0)),"")</f>
        <v>Microciclo</v>
      </c>
      <c r="E209" t="str">
        <f>IFERROR(INDEX(CATALOGOS!$I$3:$I$6,MATCH(C209,CATALOGOS!$G$3:$G$6,0)),"")</f>
        <v>Mantener / perfeccionar</v>
      </c>
    </row>
    <row r="210" spans="1:5" x14ac:dyDescent="0.2">
      <c r="A210" t="s">
        <v>190</v>
      </c>
      <c r="B210" t="s">
        <v>112</v>
      </c>
      <c r="C210" t="str">
        <f>INDEX(NORMATIVOS!$C$194:$Z$194,1,MATCH($B$3,NORMATIVOS!$C$1:$Z$1,0))</f>
        <v>Consolidado</v>
      </c>
      <c r="D210" t="str">
        <f>IFERROR(INDEX(CATALOGOS!$H$3:$H$6,MATCH(C210,CATALOGOS!$G$3:$G$6,0)),"")</f>
        <v>Microciclo</v>
      </c>
      <c r="E210" t="str">
        <f>IFERROR(INDEX(CATALOGOS!$I$3:$I$6,MATCH(C210,CATALOGOS!$G$3:$G$6,0)),"")</f>
        <v>Mantener / perfeccionar</v>
      </c>
    </row>
    <row r="211" spans="1:5" x14ac:dyDescent="0.2">
      <c r="A211" t="s">
        <v>190</v>
      </c>
      <c r="B211" t="s">
        <v>13</v>
      </c>
      <c r="C211" t="str">
        <f>INDEX(NORMATIVOS!$C$195:$Z$195,1,MATCH($B$3,NORMATIVOS!$C$1:$Z$1,0))</f>
        <v>Consolidado</v>
      </c>
      <c r="D211" t="str">
        <f>IFERROR(INDEX(CATALOGOS!$H$3:$H$6,MATCH(C211,CATALOGOS!$G$3:$G$6,0)),"")</f>
        <v>Microciclo</v>
      </c>
      <c r="E211" t="str">
        <f>IFERROR(INDEX(CATALOGOS!$I$3:$I$6,MATCH(C211,CATALOGOS!$G$3:$G$6,0)),"")</f>
        <v>Mantener / perfeccionar</v>
      </c>
    </row>
    <row r="212" spans="1:5" x14ac:dyDescent="0.2">
      <c r="A212" t="s">
        <v>190</v>
      </c>
      <c r="B212" t="s">
        <v>174</v>
      </c>
      <c r="C212" t="str">
        <f>INDEX(NORMATIVOS!$C$196:$Z$196,1,MATCH($B$3,NORMATIVOS!$C$1:$Z$1,0))</f>
        <v>Consolidado</v>
      </c>
      <c r="D212" t="str">
        <f>IFERROR(INDEX(CATALOGOS!$H$3:$H$6,MATCH(C212,CATALOGOS!$G$3:$G$6,0)),"")</f>
        <v>Microciclo</v>
      </c>
      <c r="E212" t="str">
        <f>IFERROR(INDEX(CATALOGOS!$I$3:$I$6,MATCH(C212,CATALOGOS!$G$3:$G$6,0)),"")</f>
        <v>Mantener / perfeccionar</v>
      </c>
    </row>
    <row r="213" spans="1:5" x14ac:dyDescent="0.2">
      <c r="A213" t="s">
        <v>190</v>
      </c>
      <c r="B213" t="s">
        <v>307</v>
      </c>
      <c r="C213" t="str">
        <f>INDEX(NORMATIVOS!$C$197:$Z$197,1,MATCH($B$3,NORMATIVOS!$C$1:$Z$1,0))</f>
        <v>Consolidado</v>
      </c>
      <c r="D213" t="str">
        <f>IFERROR(INDEX(CATALOGOS!$H$3:$H$6,MATCH(C213,CATALOGOS!$G$3:$G$6,0)),"")</f>
        <v>Microciclo</v>
      </c>
      <c r="E213" t="str">
        <f>IFERROR(INDEX(CATALOGOS!$I$3:$I$6,MATCH(C213,CATALOGOS!$G$3:$G$6,0)),"")</f>
        <v>Mantener / perfeccionar</v>
      </c>
    </row>
    <row r="214" spans="1:5" x14ac:dyDescent="0.2">
      <c r="A214" t="s">
        <v>190</v>
      </c>
      <c r="B214" t="s">
        <v>193</v>
      </c>
      <c r="C214" t="str">
        <f>INDEX(NORMATIVOS!$C$198:$Z$198,1,MATCH($B$3,NORMATIVOS!$C$1:$Z$1,0))</f>
        <v>Consolidado</v>
      </c>
      <c r="D214" t="str">
        <f>IFERROR(INDEX(CATALOGOS!$H$3:$H$6,MATCH(C214,CATALOGOS!$G$3:$G$6,0)),"")</f>
        <v>Microciclo</v>
      </c>
      <c r="E214" t="str">
        <f>IFERROR(INDEX(CATALOGOS!$I$3:$I$6,MATCH(C214,CATALOGOS!$G$3:$G$6,0)),"")</f>
        <v>Mantener / perfeccionar</v>
      </c>
    </row>
    <row r="215" spans="1:5" x14ac:dyDescent="0.2">
      <c r="A215" t="s">
        <v>190</v>
      </c>
      <c r="B215" t="s">
        <v>194</v>
      </c>
      <c r="C215" t="str">
        <f>INDEX(NORMATIVOS!$C$199:$Z$199,1,MATCH($B$3,NORMATIVOS!$C$1:$Z$1,0))</f>
        <v>Consolidado</v>
      </c>
      <c r="D215" t="str">
        <f>IFERROR(INDEX(CATALOGOS!$H$3:$H$6,MATCH(C215,CATALOGOS!$G$3:$G$6,0)),"")</f>
        <v>Microciclo</v>
      </c>
      <c r="E215" t="str">
        <f>IFERROR(INDEX(CATALOGOS!$I$3:$I$6,MATCH(C215,CATALOGOS!$G$3:$G$6,0)),"")</f>
        <v>Mantener / perfeccionar</v>
      </c>
    </row>
    <row r="216" spans="1:5" x14ac:dyDescent="0.2">
      <c r="A216" t="s">
        <v>190</v>
      </c>
      <c r="B216" t="s">
        <v>195</v>
      </c>
      <c r="C216" t="str">
        <f>INDEX(NORMATIVOS!$C$200:$Z$200,1,MATCH($B$3,NORMATIVOS!$C$1:$Z$1,0))</f>
        <v>Consolidado</v>
      </c>
      <c r="D216" t="str">
        <f>IFERROR(INDEX(CATALOGOS!$H$3:$H$6,MATCH(C216,CATALOGOS!$G$3:$G$6,0)),"")</f>
        <v>Microciclo</v>
      </c>
      <c r="E216" t="str">
        <f>IFERROR(INDEX(CATALOGOS!$I$3:$I$6,MATCH(C216,CATALOGOS!$G$3:$G$6,0)),"")</f>
        <v>Mantener / perfeccionar</v>
      </c>
    </row>
    <row r="217" spans="1:5" x14ac:dyDescent="0.2">
      <c r="A217" t="s">
        <v>190</v>
      </c>
      <c r="B217" t="s">
        <v>196</v>
      </c>
      <c r="C217" t="str">
        <f>INDEX(NORMATIVOS!$C$201:$Z$201,1,MATCH($B$3,NORMATIVOS!$C$1:$Z$1,0))</f>
        <v>Proyección</v>
      </c>
      <c r="D217" t="str">
        <f>IFERROR(INDEX(CATALOGOS!$H$3:$H$6,MATCH(C217,CATALOGOS!$G$3:$G$6,0)),"")</f>
        <v>Macrociclo</v>
      </c>
      <c r="E217" t="str">
        <f>IFERROR(INDEX(CATALOGOS!$I$3:$I$6,MATCH(C217,CATALOGOS!$G$3:$G$6,0)),"")</f>
        <v>Iniciar / aprender</v>
      </c>
    </row>
    <row r="218" spans="1:5" x14ac:dyDescent="0.2">
      <c r="A218" t="s">
        <v>190</v>
      </c>
      <c r="B218" t="s">
        <v>197</v>
      </c>
      <c r="C218" t="str">
        <f>INDEX(NORMATIVOS!$C$202:$Z$202,1,MATCH($B$3,NORMATIVOS!$C$1:$Z$1,0))</f>
        <v>Consolidado</v>
      </c>
      <c r="D218" t="str">
        <f>IFERROR(INDEX(CATALOGOS!$H$3:$H$6,MATCH(C218,CATALOGOS!$G$3:$G$6,0)),"")</f>
        <v>Microciclo</v>
      </c>
      <c r="E218" t="str">
        <f>IFERROR(INDEX(CATALOGOS!$I$3:$I$6,MATCH(C218,CATALOGOS!$G$3:$G$6,0)),"")</f>
        <v>Mantener / perfeccionar</v>
      </c>
    </row>
    <row r="219" spans="1:5" x14ac:dyDescent="0.2">
      <c r="A219" t="s">
        <v>190</v>
      </c>
      <c r="B219" t="s">
        <v>198</v>
      </c>
      <c r="C219" t="str">
        <f>INDEX(NORMATIVOS!$C$203:$Z$203,1,MATCH($B$3,NORMATIVOS!$C$1:$Z$1,0))</f>
        <v>Consolidado</v>
      </c>
      <c r="D219" t="str">
        <f>IFERROR(INDEX(CATALOGOS!$H$3:$H$6,MATCH(C219,CATALOGOS!$G$3:$G$6,0)),"")</f>
        <v>Microciclo</v>
      </c>
      <c r="E219" t="str">
        <f>IFERROR(INDEX(CATALOGOS!$I$3:$I$6,MATCH(C219,CATALOGOS!$G$3:$G$6,0)),"")</f>
        <v>Mantener / perfeccionar</v>
      </c>
    </row>
    <row r="220" spans="1:5" x14ac:dyDescent="0.2">
      <c r="A220" t="s">
        <v>190</v>
      </c>
      <c r="B220" t="s">
        <v>199</v>
      </c>
      <c r="C220" t="str">
        <f>INDEX(NORMATIVOS!$C$204:$Z$204,1,MATCH($B$3,NORMATIVOS!$C$1:$Z$1,0))</f>
        <v>En proceso</v>
      </c>
      <c r="D220" t="str">
        <f>IFERROR(INDEX(CATALOGOS!$H$3:$H$6,MATCH(C220,CATALOGOS!$G$3:$G$6,0)),"")</f>
        <v>Mesociclo</v>
      </c>
      <c r="E220" t="str">
        <f>IFERROR(INDEX(CATALOGOS!$I$3:$I$6,MATCH(C220,CATALOGOS!$G$3:$G$6,0)),"")</f>
        <v>Desarrollar / consolidar</v>
      </c>
    </row>
    <row r="221" spans="1:5" x14ac:dyDescent="0.2">
      <c r="A221" t="s">
        <v>190</v>
      </c>
      <c r="B221" t="s">
        <v>309</v>
      </c>
      <c r="C221" t="str">
        <f>INDEX(NORMATIVOS!$C$205:$Z$205,1,MATCH($B$3,NORMATIVOS!$C$1:$Z$1,0))</f>
        <v>Consolidado</v>
      </c>
      <c r="D221" t="str">
        <f>IFERROR(INDEX(CATALOGOS!$H$3:$H$6,MATCH(C221,CATALOGOS!$G$3:$G$6,0)),"")</f>
        <v>Microciclo</v>
      </c>
      <c r="E221" t="str">
        <f>IFERROR(INDEX(CATALOGOS!$I$3:$I$6,MATCH(C221,CATALOGOS!$G$3:$G$6,0)),"")</f>
        <v>Mantener / perfeccionar</v>
      </c>
    </row>
    <row r="222" spans="1:5" x14ac:dyDescent="0.2">
      <c r="A222" t="s">
        <v>190</v>
      </c>
      <c r="B222" t="s">
        <v>310</v>
      </c>
      <c r="C222" t="str">
        <f>INDEX(NORMATIVOS!$C$206:$Z$206,1,MATCH($B$3,NORMATIVOS!$C$1:$Z$1,0))</f>
        <v>En proceso</v>
      </c>
      <c r="D222" t="str">
        <f>IFERROR(INDEX(CATALOGOS!$H$3:$H$6,MATCH(C222,CATALOGOS!$G$3:$G$6,0)),"")</f>
        <v>Mesociclo</v>
      </c>
      <c r="E222" t="str">
        <f>IFERROR(INDEX(CATALOGOS!$I$3:$I$6,MATCH(C222,CATALOGOS!$G$3:$G$6,0)),"")</f>
        <v>Desarrollar / consolidar</v>
      </c>
    </row>
    <row r="223" spans="1:5" x14ac:dyDescent="0.2">
      <c r="A223" t="s">
        <v>190</v>
      </c>
      <c r="B223" t="s">
        <v>202</v>
      </c>
      <c r="C223" t="str">
        <f>INDEX(NORMATIVOS!$C$207:$Z$207,1,MATCH($B$3,NORMATIVOS!$C$1:$Z$1,0))</f>
        <v>Proyección</v>
      </c>
      <c r="D223" t="str">
        <f>IFERROR(INDEX(CATALOGOS!$H$3:$H$6,MATCH(C223,CATALOGOS!$G$3:$G$6,0)),"")</f>
        <v>Macrociclo</v>
      </c>
      <c r="E223" t="str">
        <f>IFERROR(INDEX(CATALOGOS!$I$3:$I$6,MATCH(C223,CATALOGOS!$G$3:$G$6,0)),"")</f>
        <v>Iniciar / aprender</v>
      </c>
    </row>
    <row r="224" spans="1:5" x14ac:dyDescent="0.2">
      <c r="A224" t="s">
        <v>190</v>
      </c>
      <c r="B224" t="s">
        <v>203</v>
      </c>
      <c r="C224" t="str">
        <f>INDEX(NORMATIVOS!$C$208:$Z$208,1,MATCH($B$3,NORMATIVOS!$C$1:$Z$1,0))</f>
        <v>Proyección</v>
      </c>
      <c r="D224" t="str">
        <f>IFERROR(INDEX(CATALOGOS!$H$3:$H$6,MATCH(C224,CATALOGOS!$G$3:$G$6,0)),"")</f>
        <v>Macrociclo</v>
      </c>
      <c r="E224" t="str">
        <f>IFERROR(INDEX(CATALOGOS!$I$3:$I$6,MATCH(C224,CATALOGOS!$G$3:$G$6,0)),"")</f>
        <v>Iniciar / aprender</v>
      </c>
    </row>
    <row r="225" spans="1:5" x14ac:dyDescent="0.2">
      <c r="A225" t="s">
        <v>190</v>
      </c>
      <c r="B225" t="s">
        <v>204</v>
      </c>
      <c r="C225" t="str">
        <f>INDEX(NORMATIVOS!$C$209:$Z$209,1,MATCH($B$3,NORMATIVOS!$C$1:$Z$1,0))</f>
        <v>Proyección</v>
      </c>
      <c r="D225" t="str">
        <f>IFERROR(INDEX(CATALOGOS!$H$3:$H$6,MATCH(C225,CATALOGOS!$G$3:$G$6,0)),"")</f>
        <v>Macrociclo</v>
      </c>
      <c r="E225" t="str">
        <f>IFERROR(INDEX(CATALOGOS!$I$3:$I$6,MATCH(C225,CATALOGOS!$G$3:$G$6,0)),"")</f>
        <v>Iniciar / aprender</v>
      </c>
    </row>
    <row r="226" spans="1:5" x14ac:dyDescent="0.2">
      <c r="A226" t="s">
        <v>190</v>
      </c>
      <c r="B226" t="s">
        <v>205</v>
      </c>
      <c r="C226" t="str">
        <f>INDEX(NORMATIVOS!$C$210:$Z$210,1,MATCH($B$3,NORMATIVOS!$C$1:$Z$1,0))</f>
        <v>Proyección</v>
      </c>
      <c r="D226" t="str">
        <f>IFERROR(INDEX(CATALOGOS!$H$3:$H$6,MATCH(C226,CATALOGOS!$G$3:$G$6,0)),"")</f>
        <v>Macrociclo</v>
      </c>
      <c r="E226" t="str">
        <f>IFERROR(INDEX(CATALOGOS!$I$3:$I$6,MATCH(C226,CATALOGOS!$G$3:$G$6,0)),"")</f>
        <v>Iniciar / aprender</v>
      </c>
    </row>
    <row r="227" spans="1:5" x14ac:dyDescent="0.2">
      <c r="A227" t="s">
        <v>190</v>
      </c>
      <c r="B227" t="s">
        <v>311</v>
      </c>
      <c r="C227" t="str">
        <f>INDEX(NORMATIVOS!$C$211:$Z$211,1,MATCH($B$3,NORMATIVOS!$C$1:$Z$1,0))</f>
        <v>Proyección</v>
      </c>
      <c r="D227" t="str">
        <f>IFERROR(INDEX(CATALOGOS!$H$3:$H$6,MATCH(C227,CATALOGOS!$G$3:$G$6,0)),"")</f>
        <v>Macrociclo</v>
      </c>
      <c r="E227" t="str">
        <f>IFERROR(INDEX(CATALOGOS!$I$3:$I$6,MATCH(C227,CATALOGOS!$G$3:$G$6,0)),"")</f>
        <v>Iniciar / aprender</v>
      </c>
    </row>
    <row r="228" spans="1:5" x14ac:dyDescent="0.2">
      <c r="A228" t="s">
        <v>190</v>
      </c>
      <c r="B228" t="s">
        <v>207</v>
      </c>
      <c r="C228" t="str">
        <f>INDEX(NORMATIVOS!$C$212:$Z$212,1,MATCH($B$3,NORMATIVOS!$C$1:$Z$1,0))</f>
        <v>Proyección</v>
      </c>
      <c r="D228" t="str">
        <f>IFERROR(INDEX(CATALOGOS!$H$3:$H$6,MATCH(C228,CATALOGOS!$G$3:$G$6,0)),"")</f>
        <v>Macrociclo</v>
      </c>
      <c r="E228" t="str">
        <f>IFERROR(INDEX(CATALOGOS!$I$3:$I$6,MATCH(C228,CATALOGOS!$G$3:$G$6,0)),"")</f>
        <v>Iniciar / aprender</v>
      </c>
    </row>
    <row r="229" spans="1:5" x14ac:dyDescent="0.2">
      <c r="A229" t="s">
        <v>190</v>
      </c>
      <c r="B229" t="s">
        <v>208</v>
      </c>
      <c r="C229" t="str">
        <f>INDEX(NORMATIVOS!$C$213:$Z$213,1,MATCH($B$3,NORMATIVOS!$C$1:$Z$1,0))</f>
        <v>Proyección</v>
      </c>
      <c r="D229" t="str">
        <f>IFERROR(INDEX(CATALOGOS!$H$3:$H$6,MATCH(C229,CATALOGOS!$G$3:$G$6,0)),"")</f>
        <v>Macrociclo</v>
      </c>
      <c r="E229" t="str">
        <f>IFERROR(INDEX(CATALOGOS!$I$3:$I$6,MATCH(C229,CATALOGOS!$G$3:$G$6,0)),"")</f>
        <v>Iniciar / aprender</v>
      </c>
    </row>
    <row r="230" spans="1:5" x14ac:dyDescent="0.2">
      <c r="A230" t="s">
        <v>190</v>
      </c>
      <c r="B230" t="s">
        <v>209</v>
      </c>
      <c r="C230" t="str">
        <f>INDEX(NORMATIVOS!$C$214:$Z$214,1,MATCH($B$3,NORMATIVOS!$C$1:$Z$1,0))</f>
        <v>Proyección</v>
      </c>
      <c r="D230" t="str">
        <f>IFERROR(INDEX(CATALOGOS!$H$3:$H$6,MATCH(C230,CATALOGOS!$G$3:$G$6,0)),"")</f>
        <v>Macrociclo</v>
      </c>
      <c r="E230" t="str">
        <f>IFERROR(INDEX(CATALOGOS!$I$3:$I$6,MATCH(C230,CATALOGOS!$G$3:$G$6,0)),"")</f>
        <v>Iniciar / aprender</v>
      </c>
    </row>
    <row r="231" spans="1:5" x14ac:dyDescent="0.2">
      <c r="A231" t="s">
        <v>190</v>
      </c>
      <c r="B231" t="s">
        <v>210</v>
      </c>
      <c r="C231" t="str">
        <f>INDEX(NORMATIVOS!$C$215:$Z$215,1,MATCH($B$3,NORMATIVOS!$C$1:$Z$1,0))</f>
        <v>Proyección</v>
      </c>
      <c r="D231" t="str">
        <f>IFERROR(INDEX(CATALOGOS!$H$3:$H$6,MATCH(C231,CATALOGOS!$G$3:$G$6,0)),"")</f>
        <v>Macrociclo</v>
      </c>
      <c r="E231" t="str">
        <f>IFERROR(INDEX(CATALOGOS!$I$3:$I$6,MATCH(C231,CATALOGOS!$G$3:$G$6,0)),"")</f>
        <v>Iniciar / aprender</v>
      </c>
    </row>
    <row r="232" spans="1:5" x14ac:dyDescent="0.2">
      <c r="A232" t="s">
        <v>190</v>
      </c>
      <c r="B232" t="s">
        <v>211</v>
      </c>
      <c r="C232" t="str">
        <f>INDEX(NORMATIVOS!$C$216:$Z$216,1,MATCH($B$3,NORMATIVOS!$C$1:$Z$1,0))</f>
        <v>Proyección</v>
      </c>
      <c r="D232" t="str">
        <f>IFERROR(INDEX(CATALOGOS!$H$3:$H$6,MATCH(C232,CATALOGOS!$G$3:$G$6,0)),"")</f>
        <v>Macrociclo</v>
      </c>
      <c r="E232" t="str">
        <f>IFERROR(INDEX(CATALOGOS!$I$3:$I$6,MATCH(C232,CATALOGOS!$G$3:$G$6,0)),"")</f>
        <v>Iniciar / aprender</v>
      </c>
    </row>
    <row r="233" spans="1:5" x14ac:dyDescent="0.2">
      <c r="A233" t="s">
        <v>212</v>
      </c>
      <c r="B233" t="s">
        <v>174</v>
      </c>
      <c r="C233" t="str">
        <f>INDEX(NORMATIVOS!$C$217:$Z$217,1,MATCH($B$3,NORMATIVOS!$C$1:$Z$1,0))</f>
        <v>Consolidado</v>
      </c>
      <c r="D233" t="str">
        <f>IFERROR(INDEX(CATALOGOS!$H$3:$H$6,MATCH(C233,CATALOGOS!$G$3:$G$6,0)),"")</f>
        <v>Microciclo</v>
      </c>
      <c r="E233" t="str">
        <f>IFERROR(INDEX(CATALOGOS!$I$3:$I$6,MATCH(C233,CATALOGOS!$G$3:$G$6,0)),"")</f>
        <v>Mantener / perfeccionar</v>
      </c>
    </row>
    <row r="234" spans="1:5" x14ac:dyDescent="0.2">
      <c r="A234" t="s">
        <v>212</v>
      </c>
      <c r="B234" t="s">
        <v>307</v>
      </c>
      <c r="C234" t="str">
        <f>INDEX(NORMATIVOS!$C$218:$Z$218,1,MATCH($B$3,NORMATIVOS!$C$1:$Z$1,0))</f>
        <v>En proceso</v>
      </c>
      <c r="D234" t="str">
        <f>IFERROR(INDEX(CATALOGOS!$H$3:$H$6,MATCH(C234,CATALOGOS!$G$3:$G$6,0)),"")</f>
        <v>Mesociclo</v>
      </c>
      <c r="E234" t="str">
        <f>IFERROR(INDEX(CATALOGOS!$I$3:$I$6,MATCH(C234,CATALOGOS!$G$3:$G$6,0)),"")</f>
        <v>Desarrollar / consolidar</v>
      </c>
    </row>
    <row r="235" spans="1:5" x14ac:dyDescent="0.2">
      <c r="A235" t="s">
        <v>212</v>
      </c>
      <c r="B235" t="s">
        <v>308</v>
      </c>
      <c r="C235" t="str">
        <f>INDEX(NORMATIVOS!$C$219:$Z$219,1,MATCH($B$3,NORMATIVOS!$C$1:$Z$1,0))</f>
        <v>Consolidado</v>
      </c>
      <c r="D235" t="str">
        <f>IFERROR(INDEX(CATALOGOS!$H$3:$H$6,MATCH(C235,CATALOGOS!$G$3:$G$6,0)),"")</f>
        <v>Microciclo</v>
      </c>
      <c r="E235" t="str">
        <f>IFERROR(INDEX(CATALOGOS!$I$3:$I$6,MATCH(C235,CATALOGOS!$G$3:$G$6,0)),"")</f>
        <v>Mantener / perfeccionar</v>
      </c>
    </row>
    <row r="236" spans="1:5" x14ac:dyDescent="0.2">
      <c r="A236" t="s">
        <v>212</v>
      </c>
      <c r="B236" t="s">
        <v>131</v>
      </c>
      <c r="C236" t="str">
        <f>INDEX(NORMATIVOS!$C$220:$Z$220,1,MATCH($B$3,NORMATIVOS!$C$1:$Z$1,0))</f>
        <v>Consolidado</v>
      </c>
      <c r="D236" t="str">
        <f>IFERROR(INDEX(CATALOGOS!$H$3:$H$6,MATCH(C236,CATALOGOS!$G$3:$G$6,0)),"")</f>
        <v>Microciclo</v>
      </c>
      <c r="E236" t="str">
        <f>IFERROR(INDEX(CATALOGOS!$I$3:$I$6,MATCH(C236,CATALOGOS!$G$3:$G$6,0)),"")</f>
        <v>Mantener / perfeccionar</v>
      </c>
    </row>
    <row r="237" spans="1:5" x14ac:dyDescent="0.2">
      <c r="A237" t="s">
        <v>212</v>
      </c>
      <c r="B237" t="s">
        <v>213</v>
      </c>
      <c r="C237" t="str">
        <f>INDEX(NORMATIVOS!$C$221:$Z$221,1,MATCH($B$3,NORMATIVOS!$C$1:$Z$1,0))</f>
        <v>En proceso</v>
      </c>
      <c r="D237" t="str">
        <f>IFERROR(INDEX(CATALOGOS!$H$3:$H$6,MATCH(C237,CATALOGOS!$G$3:$G$6,0)),"")</f>
        <v>Mesociclo</v>
      </c>
      <c r="E237" t="str">
        <f>IFERROR(INDEX(CATALOGOS!$I$3:$I$6,MATCH(C237,CATALOGOS!$G$3:$G$6,0)),"")</f>
        <v>Desarrollar / consolidar</v>
      </c>
    </row>
    <row r="238" spans="1:5" x14ac:dyDescent="0.2">
      <c r="A238" t="s">
        <v>212</v>
      </c>
      <c r="B238" t="s">
        <v>214</v>
      </c>
      <c r="C238" t="str">
        <f>INDEX(NORMATIVOS!$C$222:$Z$222,1,MATCH($B$3,NORMATIVOS!$C$1:$Z$1,0))</f>
        <v>Proyección</v>
      </c>
      <c r="D238" t="str">
        <f>IFERROR(INDEX(CATALOGOS!$H$3:$H$6,MATCH(C238,CATALOGOS!$G$3:$G$6,0)),"")</f>
        <v>Macrociclo</v>
      </c>
      <c r="E238" t="str">
        <f>IFERROR(INDEX(CATALOGOS!$I$3:$I$6,MATCH(C238,CATALOGOS!$G$3:$G$6,0)),"")</f>
        <v>Iniciar / aprender</v>
      </c>
    </row>
    <row r="239" spans="1:5" x14ac:dyDescent="0.2">
      <c r="A239" t="s">
        <v>212</v>
      </c>
      <c r="B239" t="s">
        <v>215</v>
      </c>
      <c r="C239" t="str">
        <f>INDEX(NORMATIVOS!$C$223:$Z$223,1,MATCH($B$3,NORMATIVOS!$C$1:$Z$1,0))</f>
        <v>Proyección</v>
      </c>
      <c r="D239" t="str">
        <f>IFERROR(INDEX(CATALOGOS!$H$3:$H$6,MATCH(C239,CATALOGOS!$G$3:$G$6,0)),"")</f>
        <v>Macrociclo</v>
      </c>
      <c r="E239" t="str">
        <f>IFERROR(INDEX(CATALOGOS!$I$3:$I$6,MATCH(C239,CATALOGOS!$G$3:$G$6,0)),"")</f>
        <v>Iniciar / aprender</v>
      </c>
    </row>
    <row r="240" spans="1:5" x14ac:dyDescent="0.2">
      <c r="A240" t="s">
        <v>212</v>
      </c>
      <c r="B240" t="s">
        <v>216</v>
      </c>
      <c r="C240" t="str">
        <f>INDEX(NORMATIVOS!$C$224:$Z$224,1,MATCH($B$3,NORMATIVOS!$C$1:$Z$1,0))</f>
        <v>Proyección</v>
      </c>
      <c r="D240" t="str">
        <f>IFERROR(INDEX(CATALOGOS!$H$3:$H$6,MATCH(C240,CATALOGOS!$G$3:$G$6,0)),"")</f>
        <v>Macrociclo</v>
      </c>
      <c r="E240" t="str">
        <f>IFERROR(INDEX(CATALOGOS!$I$3:$I$6,MATCH(C240,CATALOGOS!$G$3:$G$6,0)),"")</f>
        <v>Iniciar / aprender</v>
      </c>
    </row>
    <row r="241" spans="1:5" x14ac:dyDescent="0.2">
      <c r="A241" t="s">
        <v>212</v>
      </c>
      <c r="B241" t="s">
        <v>312</v>
      </c>
      <c r="C241" t="str">
        <f>INDEX(NORMATIVOS!$C$225:$Z$225,1,MATCH($B$3,NORMATIVOS!$C$1:$Z$1,0))</f>
        <v>Proyección</v>
      </c>
      <c r="D241" t="str">
        <f>IFERROR(INDEX(CATALOGOS!$H$3:$H$6,MATCH(C241,CATALOGOS!$G$3:$G$6,0)),"")</f>
        <v>Macrociclo</v>
      </c>
      <c r="E241" t="str">
        <f>IFERROR(INDEX(CATALOGOS!$I$3:$I$6,MATCH(C241,CATALOGOS!$G$3:$G$6,0)),"")</f>
        <v>Iniciar / aprender</v>
      </c>
    </row>
    <row r="242" spans="1:5" x14ac:dyDescent="0.2">
      <c r="A242" t="s">
        <v>212</v>
      </c>
      <c r="B242" t="s">
        <v>218</v>
      </c>
      <c r="C242" t="str">
        <f>INDEX(NORMATIVOS!$C$226:$Z$226,1,MATCH($B$3,NORMATIVOS!$C$1:$Z$1,0))</f>
        <v>Proyección</v>
      </c>
      <c r="D242" t="str">
        <f>IFERROR(INDEX(CATALOGOS!$H$3:$H$6,MATCH(C242,CATALOGOS!$G$3:$G$6,0)),"")</f>
        <v>Macrociclo</v>
      </c>
      <c r="E242" t="str">
        <f>IFERROR(INDEX(CATALOGOS!$I$3:$I$6,MATCH(C242,CATALOGOS!$G$3:$G$6,0)),"")</f>
        <v>Iniciar / aprender</v>
      </c>
    </row>
    <row r="243" spans="1:5" x14ac:dyDescent="0.2">
      <c r="A243" t="s">
        <v>212</v>
      </c>
      <c r="B243" t="s">
        <v>219</v>
      </c>
      <c r="C243" t="str">
        <f>INDEX(NORMATIVOS!$C$227:$Z$227,1,MATCH($B$3,NORMATIVOS!$C$1:$Z$1,0))</f>
        <v>Proyección</v>
      </c>
      <c r="D243" t="str">
        <f>IFERROR(INDEX(CATALOGOS!$H$3:$H$6,MATCH(C243,CATALOGOS!$G$3:$G$6,0)),"")</f>
        <v>Macrociclo</v>
      </c>
      <c r="E243" t="str">
        <f>IFERROR(INDEX(CATALOGOS!$I$3:$I$6,MATCH(C243,CATALOGOS!$G$3:$G$6,0)),"")</f>
        <v>Iniciar / aprender</v>
      </c>
    </row>
    <row r="244" spans="1:5" x14ac:dyDescent="0.2">
      <c r="A244" t="s">
        <v>212</v>
      </c>
      <c r="B244" t="s">
        <v>220</v>
      </c>
      <c r="C244" t="str">
        <f>INDEX(NORMATIVOS!$C$228:$Z$228,1,MATCH($B$3,NORMATIVOS!$C$1:$Z$1,0))</f>
        <v>Proyección</v>
      </c>
      <c r="D244" t="str">
        <f>IFERROR(INDEX(CATALOGOS!$H$3:$H$6,MATCH(C244,CATALOGOS!$G$3:$G$6,0)),"")</f>
        <v>Macrociclo</v>
      </c>
      <c r="E244" t="str">
        <f>IFERROR(INDEX(CATALOGOS!$I$3:$I$6,MATCH(C244,CATALOGOS!$G$3:$G$6,0)),"")</f>
        <v>Iniciar / aprender</v>
      </c>
    </row>
    <row r="245" spans="1:5" x14ac:dyDescent="0.2">
      <c r="A245" t="s">
        <v>212</v>
      </c>
      <c r="B245" t="s">
        <v>313</v>
      </c>
      <c r="C245" t="str">
        <f>INDEX(NORMATIVOS!$C$229:$Z$229,1,MATCH($B$3,NORMATIVOS!$C$1:$Z$1,0))</f>
        <v>Proyección</v>
      </c>
      <c r="D245" t="str">
        <f>IFERROR(INDEX(CATALOGOS!$H$3:$H$6,MATCH(C245,CATALOGOS!$G$3:$G$6,0)),"")</f>
        <v>Macrociclo</v>
      </c>
      <c r="E245" t="str">
        <f>IFERROR(INDEX(CATALOGOS!$I$3:$I$6,MATCH(C245,CATALOGOS!$G$3:$G$6,0)),"")</f>
        <v>Iniciar / aprender</v>
      </c>
    </row>
    <row r="246" spans="1:5" x14ac:dyDescent="0.2">
      <c r="A246" t="s">
        <v>223</v>
      </c>
      <c r="B246" t="s">
        <v>224</v>
      </c>
      <c r="C246" t="str">
        <f>INDEX(NORMATIVOS!$C$232:$Z$232,1,MATCH($B$3,NORMATIVOS!$C$1:$Z$1,0))</f>
        <v>Consolidado</v>
      </c>
      <c r="D246" t="str">
        <f>IFERROR(INDEX(CATALOGOS!$H$3:$H$6,MATCH(C246,CATALOGOS!$G$3:$G$6,0)),"")</f>
        <v>Microciclo</v>
      </c>
      <c r="E246" t="str">
        <f>IFERROR(INDEX(CATALOGOS!$I$3:$I$6,MATCH(C246,CATALOGOS!$G$3:$G$6,0)),"")</f>
        <v>Mantener / perfeccionar</v>
      </c>
    </row>
    <row r="247" spans="1:5" x14ac:dyDescent="0.2">
      <c r="A247" t="s">
        <v>223</v>
      </c>
      <c r="B247" t="s">
        <v>225</v>
      </c>
      <c r="C247" t="str">
        <f>INDEX(NORMATIVOS!$C$233:$Z$233,1,MATCH($B$3,NORMATIVOS!$C$1:$Z$1,0))</f>
        <v>Consolidado</v>
      </c>
      <c r="D247" t="str">
        <f>IFERROR(INDEX(CATALOGOS!$H$3:$H$6,MATCH(C247,CATALOGOS!$G$3:$G$6,0)),"")</f>
        <v>Microciclo</v>
      </c>
      <c r="E247" t="str">
        <f>IFERROR(INDEX(CATALOGOS!$I$3:$I$6,MATCH(C247,CATALOGOS!$G$3:$G$6,0)),"")</f>
        <v>Mantener / perfeccionar</v>
      </c>
    </row>
    <row r="248" spans="1:5" x14ac:dyDescent="0.2">
      <c r="A248" t="s">
        <v>223</v>
      </c>
      <c r="B248" t="s">
        <v>121</v>
      </c>
      <c r="C248" t="str">
        <f>INDEX(NORMATIVOS!$C$234:$Z$234,1,MATCH($B$3,NORMATIVOS!$C$1:$Z$1,0))</f>
        <v>Consolidado</v>
      </c>
      <c r="D248" t="str">
        <f>IFERROR(INDEX(CATALOGOS!$H$3:$H$6,MATCH(C248,CATALOGOS!$G$3:$G$6,0)),"")</f>
        <v>Microciclo</v>
      </c>
      <c r="E248" t="str">
        <f>IFERROR(INDEX(CATALOGOS!$I$3:$I$6,MATCH(C248,CATALOGOS!$G$3:$G$6,0)),"")</f>
        <v>Mantener / perfeccionar</v>
      </c>
    </row>
    <row r="249" spans="1:5" x14ac:dyDescent="0.2">
      <c r="A249" t="s">
        <v>223</v>
      </c>
      <c r="B249" t="s">
        <v>300</v>
      </c>
      <c r="C249" t="str">
        <f>INDEX(NORMATIVOS!$C$235:$Z$235,1,MATCH($B$3,NORMATIVOS!$C$1:$Z$1,0))</f>
        <v>Consolidado</v>
      </c>
      <c r="D249" t="str">
        <f>IFERROR(INDEX(CATALOGOS!$H$3:$H$6,MATCH(C249,CATALOGOS!$G$3:$G$6,0)),"")</f>
        <v>Microciclo</v>
      </c>
      <c r="E249" t="str">
        <f>IFERROR(INDEX(CATALOGOS!$I$3:$I$6,MATCH(C249,CATALOGOS!$G$3:$G$6,0)),"")</f>
        <v>Mantener / perfeccionar</v>
      </c>
    </row>
    <row r="250" spans="1:5" x14ac:dyDescent="0.2">
      <c r="A250" t="s">
        <v>223</v>
      </c>
      <c r="B250" t="s">
        <v>226</v>
      </c>
      <c r="C250" t="str">
        <f>INDEX(NORMATIVOS!$C$236:$Z$236,1,MATCH($B$3,NORMATIVOS!$C$1:$Z$1,0))</f>
        <v>Consolidado</v>
      </c>
      <c r="D250" t="str">
        <f>IFERROR(INDEX(CATALOGOS!$H$3:$H$6,MATCH(C250,CATALOGOS!$G$3:$G$6,0)),"")</f>
        <v>Microciclo</v>
      </c>
      <c r="E250" t="str">
        <f>IFERROR(INDEX(CATALOGOS!$I$3:$I$6,MATCH(C250,CATALOGOS!$G$3:$G$6,0)),"")</f>
        <v>Mantener / perfeccionar</v>
      </c>
    </row>
    <row r="251" spans="1:5" x14ac:dyDescent="0.2">
      <c r="A251" t="s">
        <v>223</v>
      </c>
      <c r="B251" t="s">
        <v>227</v>
      </c>
      <c r="C251" t="str">
        <f>INDEX(NORMATIVOS!$C$237:$Z$237,1,MATCH($B$3,NORMATIVOS!$C$1:$Z$1,0))</f>
        <v>Consolidado</v>
      </c>
      <c r="D251" t="str">
        <f>IFERROR(INDEX(CATALOGOS!$H$3:$H$6,MATCH(C251,CATALOGOS!$G$3:$G$6,0)),"")</f>
        <v>Microciclo</v>
      </c>
      <c r="E251" t="str">
        <f>IFERROR(INDEX(CATALOGOS!$I$3:$I$6,MATCH(C251,CATALOGOS!$G$3:$G$6,0)),"")</f>
        <v>Mantener / perfeccionar</v>
      </c>
    </row>
    <row r="252" spans="1:5" x14ac:dyDescent="0.2">
      <c r="A252" t="s">
        <v>223</v>
      </c>
      <c r="B252" t="s">
        <v>228</v>
      </c>
      <c r="C252" t="str">
        <f>INDEX(NORMATIVOS!$C$238:$Z$238,1,MATCH($B$3,NORMATIVOS!$C$1:$Z$1,0))</f>
        <v>Consolidado</v>
      </c>
      <c r="D252" t="str">
        <f>IFERROR(INDEX(CATALOGOS!$H$3:$H$6,MATCH(C252,CATALOGOS!$G$3:$G$6,0)),"")</f>
        <v>Microciclo</v>
      </c>
      <c r="E252" t="str">
        <f>IFERROR(INDEX(CATALOGOS!$I$3:$I$6,MATCH(C252,CATALOGOS!$G$3:$G$6,0)),"")</f>
        <v>Mantener / perfeccionar</v>
      </c>
    </row>
    <row r="253" spans="1:5" x14ac:dyDescent="0.2">
      <c r="A253" t="s">
        <v>223</v>
      </c>
      <c r="B253" t="s">
        <v>229</v>
      </c>
      <c r="C253" t="str">
        <f>INDEX(NORMATIVOS!$C$239:$Z$239,1,MATCH($B$3,NORMATIVOS!$C$1:$Z$1,0))</f>
        <v>Consolidado</v>
      </c>
      <c r="D253" t="str">
        <f>IFERROR(INDEX(CATALOGOS!$H$3:$H$6,MATCH(C253,CATALOGOS!$G$3:$G$6,0)),"")</f>
        <v>Microciclo</v>
      </c>
      <c r="E253" t="str">
        <f>IFERROR(INDEX(CATALOGOS!$I$3:$I$6,MATCH(C253,CATALOGOS!$G$3:$G$6,0)),"")</f>
        <v>Mantener / perfeccionar</v>
      </c>
    </row>
    <row r="254" spans="1:5" x14ac:dyDescent="0.2">
      <c r="A254" t="s">
        <v>223</v>
      </c>
      <c r="B254" t="s">
        <v>230</v>
      </c>
      <c r="C254" t="str">
        <f>INDEX(NORMATIVOS!$C$240:$Z$240,1,MATCH($B$3,NORMATIVOS!$C$1:$Z$1,0))</f>
        <v>Consolidado</v>
      </c>
      <c r="D254" t="str">
        <f>IFERROR(INDEX(CATALOGOS!$H$3:$H$6,MATCH(C254,CATALOGOS!$G$3:$G$6,0)),"")</f>
        <v>Microciclo</v>
      </c>
      <c r="E254" t="str">
        <f>IFERROR(INDEX(CATALOGOS!$I$3:$I$6,MATCH(C254,CATALOGOS!$G$3:$G$6,0)),"")</f>
        <v>Mantener / perfeccionar</v>
      </c>
    </row>
    <row r="255" spans="1:5" x14ac:dyDescent="0.2">
      <c r="A255" t="s">
        <v>223</v>
      </c>
      <c r="B255" t="s">
        <v>135</v>
      </c>
      <c r="C255" t="str">
        <f>INDEX(NORMATIVOS!$C$241:$Z$241,1,MATCH($B$3,NORMATIVOS!$C$1:$Z$1,0))</f>
        <v>Consolidado</v>
      </c>
      <c r="D255" t="str">
        <f>IFERROR(INDEX(CATALOGOS!$H$3:$H$6,MATCH(C255,CATALOGOS!$G$3:$G$6,0)),"")</f>
        <v>Microciclo</v>
      </c>
      <c r="E255" t="str">
        <f>IFERROR(INDEX(CATALOGOS!$I$3:$I$6,MATCH(C255,CATALOGOS!$G$3:$G$6,0)),"")</f>
        <v>Mantener / perfeccionar</v>
      </c>
    </row>
    <row r="256" spans="1:5" x14ac:dyDescent="0.2">
      <c r="A256" t="s">
        <v>223</v>
      </c>
      <c r="B256" t="s">
        <v>134</v>
      </c>
      <c r="C256" t="str">
        <f>INDEX(NORMATIVOS!$C$242:$Z$242,1,MATCH($B$3,NORMATIVOS!$C$1:$Z$1,0))</f>
        <v>Consolidado</v>
      </c>
      <c r="D256" t="str">
        <f>IFERROR(INDEX(CATALOGOS!$H$3:$H$6,MATCH(C256,CATALOGOS!$G$3:$G$6,0)),"")</f>
        <v>Microciclo</v>
      </c>
      <c r="E256" t="str">
        <f>IFERROR(INDEX(CATALOGOS!$I$3:$I$6,MATCH(C256,CATALOGOS!$G$3:$G$6,0)),"")</f>
        <v>Mantener / perfeccionar</v>
      </c>
    </row>
    <row r="257" spans="1:5" x14ac:dyDescent="0.2">
      <c r="A257" t="s">
        <v>223</v>
      </c>
      <c r="B257" t="s">
        <v>232</v>
      </c>
      <c r="C257" t="str">
        <f>INDEX(NORMATIVOS!$C$243:$Z$243,1,MATCH($B$3,NORMATIVOS!$C$1:$Z$1,0))</f>
        <v>Consolidado</v>
      </c>
      <c r="D257" t="str">
        <f>IFERROR(INDEX(CATALOGOS!$H$3:$H$6,MATCH(C257,CATALOGOS!$G$3:$G$6,0)),"")</f>
        <v>Microciclo</v>
      </c>
      <c r="E257" t="str">
        <f>IFERROR(INDEX(CATALOGOS!$I$3:$I$6,MATCH(C257,CATALOGOS!$G$3:$G$6,0)),"")</f>
        <v>Mantener / perfeccionar</v>
      </c>
    </row>
    <row r="258" spans="1:5" x14ac:dyDescent="0.2">
      <c r="A258" t="s">
        <v>223</v>
      </c>
      <c r="B258" t="s">
        <v>198</v>
      </c>
      <c r="C258" t="str">
        <f>INDEX(NORMATIVOS!$C$244:$Z$244,1,MATCH($B$3,NORMATIVOS!$C$1:$Z$1,0))</f>
        <v>Consolidado</v>
      </c>
      <c r="D258" t="str">
        <f>IFERROR(INDEX(CATALOGOS!$H$3:$H$6,MATCH(C258,CATALOGOS!$G$3:$G$6,0)),"")</f>
        <v>Microciclo</v>
      </c>
      <c r="E258" t="str">
        <f>IFERROR(INDEX(CATALOGOS!$I$3:$I$6,MATCH(C258,CATALOGOS!$G$3:$G$6,0)),"")</f>
        <v>Mantener / perfeccionar</v>
      </c>
    </row>
    <row r="259" spans="1:5" x14ac:dyDescent="0.2">
      <c r="A259" t="s">
        <v>223</v>
      </c>
      <c r="B259" t="s">
        <v>233</v>
      </c>
      <c r="C259" t="str">
        <f>INDEX(NORMATIVOS!$C$245:$Z$245,1,MATCH($B$3,NORMATIVOS!$C$1:$Z$1,0))</f>
        <v>Consolidado</v>
      </c>
      <c r="D259" t="str">
        <f>IFERROR(INDEX(CATALOGOS!$H$3:$H$6,MATCH(C259,CATALOGOS!$G$3:$G$6,0)),"")</f>
        <v>Microciclo</v>
      </c>
      <c r="E259" t="str">
        <f>IFERROR(INDEX(CATALOGOS!$I$3:$I$6,MATCH(C259,CATALOGOS!$G$3:$G$6,0)),"")</f>
        <v>Mantener / perfeccionar</v>
      </c>
    </row>
    <row r="260" spans="1:5" x14ac:dyDescent="0.2">
      <c r="A260" t="s">
        <v>223</v>
      </c>
      <c r="B260" t="s">
        <v>234</v>
      </c>
      <c r="C260" t="str">
        <f>INDEX(NORMATIVOS!$C$246:$Z$246,1,MATCH($B$3,NORMATIVOS!$C$1:$Z$1,0))</f>
        <v>Consolidado</v>
      </c>
      <c r="D260" t="str">
        <f>IFERROR(INDEX(CATALOGOS!$H$3:$H$6,MATCH(C260,CATALOGOS!$G$3:$G$6,0)),"")</f>
        <v>Microciclo</v>
      </c>
      <c r="E260" t="str">
        <f>IFERROR(INDEX(CATALOGOS!$I$3:$I$6,MATCH(C260,CATALOGOS!$G$3:$G$6,0)),"")</f>
        <v>Mantener / perfeccionar</v>
      </c>
    </row>
    <row r="261" spans="1:5" x14ac:dyDescent="0.2">
      <c r="A261" t="s">
        <v>223</v>
      </c>
      <c r="B261" t="s">
        <v>235</v>
      </c>
      <c r="C261" t="str">
        <f>INDEX(NORMATIVOS!$C$247:$Z$247,1,MATCH($B$3,NORMATIVOS!$C$1:$Z$1,0))</f>
        <v>Proyección</v>
      </c>
      <c r="D261" t="str">
        <f>IFERROR(INDEX(CATALOGOS!$H$3:$H$6,MATCH(C261,CATALOGOS!$G$3:$G$6,0)),"")</f>
        <v>Macrociclo</v>
      </c>
      <c r="E261" t="str">
        <f>IFERROR(INDEX(CATALOGOS!$I$3:$I$6,MATCH(C261,CATALOGOS!$G$3:$G$6,0)),"")</f>
        <v>Iniciar / aprender</v>
      </c>
    </row>
    <row r="262" spans="1:5" x14ac:dyDescent="0.2">
      <c r="A262" t="s">
        <v>223</v>
      </c>
      <c r="B262" t="s">
        <v>236</v>
      </c>
      <c r="C262" t="str">
        <f>INDEX(NORMATIVOS!$C$248:$Z$248,1,MATCH($B$3,NORMATIVOS!$C$1:$Z$1,0))</f>
        <v>Proyección</v>
      </c>
      <c r="D262" t="str">
        <f>IFERROR(INDEX(CATALOGOS!$H$3:$H$6,MATCH(C262,CATALOGOS!$G$3:$G$6,0)),"")</f>
        <v>Macrociclo</v>
      </c>
      <c r="E262" t="str">
        <f>IFERROR(INDEX(CATALOGOS!$I$3:$I$6,MATCH(C262,CATALOGOS!$G$3:$G$6,0)),"")</f>
        <v>Iniciar / aprender</v>
      </c>
    </row>
    <row r="263" spans="1:5" x14ac:dyDescent="0.2">
      <c r="A263" t="s">
        <v>223</v>
      </c>
      <c r="B263" t="s">
        <v>237</v>
      </c>
      <c r="C263" t="str">
        <f>INDEX(NORMATIVOS!$C$249:$Z$249,1,MATCH($B$3,NORMATIVOS!$C$1:$Z$1,0))</f>
        <v>Proyección</v>
      </c>
      <c r="D263" t="str">
        <f>IFERROR(INDEX(CATALOGOS!$H$3:$H$6,MATCH(C263,CATALOGOS!$G$3:$G$6,0)),"")</f>
        <v>Macrociclo</v>
      </c>
      <c r="E263" t="str">
        <f>IFERROR(INDEX(CATALOGOS!$I$3:$I$6,MATCH(C263,CATALOGOS!$G$3:$G$6,0)),"")</f>
        <v>Iniciar / aprender</v>
      </c>
    </row>
    <row r="264" spans="1:5" x14ac:dyDescent="0.2">
      <c r="A264" t="s">
        <v>223</v>
      </c>
      <c r="B264" t="s">
        <v>238</v>
      </c>
      <c r="C264" t="str">
        <f>INDEX(NORMATIVOS!$C$250:$Z$250,1,MATCH($B$3,NORMATIVOS!$C$1:$Z$1,0))</f>
        <v>Proyección</v>
      </c>
      <c r="D264" t="str">
        <f>IFERROR(INDEX(CATALOGOS!$H$3:$H$6,MATCH(C264,CATALOGOS!$G$3:$G$6,0)),"")</f>
        <v>Macrociclo</v>
      </c>
      <c r="E264" t="str">
        <f>IFERROR(INDEX(CATALOGOS!$I$3:$I$6,MATCH(C264,CATALOGOS!$G$3:$G$6,0)),"")</f>
        <v>Iniciar / aprender</v>
      </c>
    </row>
    <row r="265" spans="1:5" x14ac:dyDescent="0.2">
      <c r="A265" t="s">
        <v>223</v>
      </c>
      <c r="B265" t="s">
        <v>239</v>
      </c>
      <c r="C265" t="str">
        <f>INDEX(NORMATIVOS!$C$251:$Z$251,1,MATCH($B$3,NORMATIVOS!$C$1:$Z$1,0))</f>
        <v>Proyección</v>
      </c>
      <c r="D265" t="str">
        <f>IFERROR(INDEX(CATALOGOS!$H$3:$H$6,MATCH(C265,CATALOGOS!$G$3:$G$6,0)),"")</f>
        <v>Macrociclo</v>
      </c>
      <c r="E265" t="str">
        <f>IFERROR(INDEX(CATALOGOS!$I$3:$I$6,MATCH(C265,CATALOGOS!$G$3:$G$6,0)),"")</f>
        <v>Iniciar / aprender</v>
      </c>
    </row>
    <row r="266" spans="1:5" x14ac:dyDescent="0.2">
      <c r="A266" t="s">
        <v>223</v>
      </c>
      <c r="B266" t="s">
        <v>240</v>
      </c>
      <c r="C266" t="str">
        <f>INDEX(NORMATIVOS!$C$252:$Z$252,1,MATCH($B$3,NORMATIVOS!$C$1:$Z$1,0))</f>
        <v>Proyección</v>
      </c>
      <c r="D266" t="str">
        <f>IFERROR(INDEX(CATALOGOS!$H$3:$H$6,MATCH(C266,CATALOGOS!$G$3:$G$6,0)),"")</f>
        <v>Macrociclo</v>
      </c>
      <c r="E266" t="str">
        <f>IFERROR(INDEX(CATALOGOS!$I$3:$I$6,MATCH(C266,CATALOGOS!$G$3:$G$6,0)),"")</f>
        <v>Iniciar / aprender</v>
      </c>
    </row>
    <row r="267" spans="1:5" x14ac:dyDescent="0.2">
      <c r="A267" t="s">
        <v>223</v>
      </c>
      <c r="B267" t="s">
        <v>241</v>
      </c>
      <c r="C267" t="str">
        <f>INDEX(NORMATIVOS!$C$253:$Z$253,1,MATCH($B$3,NORMATIVOS!$C$1:$Z$1,0))</f>
        <v>Proyección</v>
      </c>
      <c r="D267" t="str">
        <f>IFERROR(INDEX(CATALOGOS!$H$3:$H$6,MATCH(C267,CATALOGOS!$G$3:$G$6,0)),"")</f>
        <v>Macrociclo</v>
      </c>
      <c r="E267" t="str">
        <f>IFERROR(INDEX(CATALOGOS!$I$3:$I$6,MATCH(C267,CATALOGOS!$G$3:$G$6,0)),"")</f>
        <v>Iniciar / aprender</v>
      </c>
    </row>
    <row r="268" spans="1:5" x14ac:dyDescent="0.2">
      <c r="A268" t="s">
        <v>223</v>
      </c>
      <c r="B268" t="s">
        <v>242</v>
      </c>
      <c r="C268" t="str">
        <f>INDEX(NORMATIVOS!$C$254:$Z$254,1,MATCH($B$3,NORMATIVOS!$C$1:$Z$1,0))</f>
        <v>Proyección</v>
      </c>
      <c r="D268" t="str">
        <f>IFERROR(INDEX(CATALOGOS!$H$3:$H$6,MATCH(C268,CATALOGOS!$G$3:$G$6,0)),"")</f>
        <v>Macrociclo</v>
      </c>
      <c r="E268" t="str">
        <f>IFERROR(INDEX(CATALOGOS!$I$3:$I$6,MATCH(C268,CATALOGOS!$G$3:$G$6,0)),"")</f>
        <v>Iniciar / aprender</v>
      </c>
    </row>
    <row r="269" spans="1:5" x14ac:dyDescent="0.2">
      <c r="A269" t="s">
        <v>223</v>
      </c>
      <c r="B269" t="s">
        <v>243</v>
      </c>
      <c r="C269" t="str">
        <f>INDEX(NORMATIVOS!$C$255:$Z$255,1,MATCH($B$3,NORMATIVOS!$C$1:$Z$1,0))</f>
        <v>Proyección</v>
      </c>
      <c r="D269" t="str">
        <f>IFERROR(INDEX(CATALOGOS!$H$3:$H$6,MATCH(C269,CATALOGOS!$G$3:$G$6,0)),"")</f>
        <v>Macrociclo</v>
      </c>
      <c r="E269" t="str">
        <f>IFERROR(INDEX(CATALOGOS!$I$3:$I$6,MATCH(C269,CATALOGOS!$G$3:$G$6,0)),"")</f>
        <v>Iniciar / aprender</v>
      </c>
    </row>
    <row r="270" spans="1:5" x14ac:dyDescent="0.2">
      <c r="A270" t="s">
        <v>223</v>
      </c>
      <c r="B270" t="s">
        <v>244</v>
      </c>
      <c r="C270" t="str">
        <f>INDEX(NORMATIVOS!$C$256:$Z$256,1,MATCH($B$3,NORMATIVOS!$C$1:$Z$1,0))</f>
        <v>Proyección</v>
      </c>
      <c r="D270" t="str">
        <f>IFERROR(INDEX(CATALOGOS!$H$3:$H$6,MATCH(C270,CATALOGOS!$G$3:$G$6,0)),"")</f>
        <v>Macrociclo</v>
      </c>
      <c r="E270" t="str">
        <f>IFERROR(INDEX(CATALOGOS!$I$3:$I$6,MATCH(C270,CATALOGOS!$G$3:$G$6,0)),"")</f>
        <v>Iniciar / aprender</v>
      </c>
    </row>
    <row r="271" spans="1:5" x14ac:dyDescent="0.2">
      <c r="A271" t="s">
        <v>223</v>
      </c>
      <c r="B271" t="s">
        <v>245</v>
      </c>
      <c r="C271" t="str">
        <f>INDEX(NORMATIVOS!$C$257:$Z$257,1,MATCH($B$3,NORMATIVOS!$C$1:$Z$1,0))</f>
        <v>Proyección</v>
      </c>
      <c r="D271" t="str">
        <f>IFERROR(INDEX(CATALOGOS!$H$3:$H$6,MATCH(C271,CATALOGOS!$G$3:$G$6,0)),"")</f>
        <v>Macrociclo</v>
      </c>
      <c r="E271" t="str">
        <f>IFERROR(INDEX(CATALOGOS!$I$3:$I$6,MATCH(C271,CATALOGOS!$G$3:$G$6,0)),"")</f>
        <v>Iniciar / aprender</v>
      </c>
    </row>
    <row r="272" spans="1:5" x14ac:dyDescent="0.2">
      <c r="A272" t="s">
        <v>223</v>
      </c>
      <c r="B272" t="s">
        <v>246</v>
      </c>
      <c r="C272" t="str">
        <f>INDEX(NORMATIVOS!$C$258:$Z$258,1,MATCH($B$3,NORMATIVOS!$C$1:$Z$1,0))</f>
        <v>Proyección</v>
      </c>
      <c r="D272" t="str">
        <f>IFERROR(INDEX(CATALOGOS!$H$3:$H$6,MATCH(C272,CATALOGOS!$G$3:$G$6,0)),"")</f>
        <v>Macrociclo</v>
      </c>
      <c r="E272" t="str">
        <f>IFERROR(INDEX(CATALOGOS!$I$3:$I$6,MATCH(C272,CATALOGOS!$G$3:$G$6,0)),"")</f>
        <v>Iniciar / aprender</v>
      </c>
    </row>
    <row r="273" spans="1:5" x14ac:dyDescent="0.2">
      <c r="A273" t="s">
        <v>223</v>
      </c>
      <c r="B273" t="s">
        <v>247</v>
      </c>
      <c r="C273" t="str">
        <f>INDEX(NORMATIVOS!$C$259:$Z$259,1,MATCH($B$3,NORMATIVOS!$C$1:$Z$1,0))</f>
        <v>Proyección</v>
      </c>
      <c r="D273" t="str">
        <f>IFERROR(INDEX(CATALOGOS!$H$3:$H$6,MATCH(C273,CATALOGOS!$G$3:$G$6,0)),"")</f>
        <v>Macrociclo</v>
      </c>
      <c r="E273" t="str">
        <f>IFERROR(INDEX(CATALOGOS!$I$3:$I$6,MATCH(C273,CATALOGOS!$G$3:$G$6,0)),"")</f>
        <v>Iniciar / aprender</v>
      </c>
    </row>
    <row r="274" spans="1:5" x14ac:dyDescent="0.2">
      <c r="A274" t="s">
        <v>248</v>
      </c>
      <c r="B274" t="s">
        <v>314</v>
      </c>
      <c r="C274" t="str">
        <f>INDEX(NORMATIVOS!$C$260:$Z$260,1,MATCH($B$3,NORMATIVOS!$C$1:$Z$1,0))</f>
        <v>Consolidado</v>
      </c>
      <c r="D274" t="str">
        <f>IFERROR(INDEX(CATALOGOS!$H$3:$H$6,MATCH(C274,CATALOGOS!$G$3:$G$6,0)),"")</f>
        <v>Microciclo</v>
      </c>
      <c r="E274" t="str">
        <f>IFERROR(INDEX(CATALOGOS!$I$3:$I$6,MATCH(C274,CATALOGOS!$G$3:$G$6,0)),"")</f>
        <v>Mantener / perfeccionar</v>
      </c>
    </row>
    <row r="275" spans="1:5" x14ac:dyDescent="0.2">
      <c r="A275" t="s">
        <v>248</v>
      </c>
      <c r="B275" t="s">
        <v>250</v>
      </c>
      <c r="C275" t="str">
        <f>INDEX(NORMATIVOS!$C$261:$Z$261,1,MATCH($B$3,NORMATIVOS!$C$1:$Z$1,0))</f>
        <v>Consolidado</v>
      </c>
      <c r="D275" t="str">
        <f>IFERROR(INDEX(CATALOGOS!$H$3:$H$6,MATCH(C275,CATALOGOS!$G$3:$G$6,0)),"")</f>
        <v>Microciclo</v>
      </c>
      <c r="E275" t="str">
        <f>IFERROR(INDEX(CATALOGOS!$I$3:$I$6,MATCH(C275,CATALOGOS!$G$3:$G$6,0)),"")</f>
        <v>Mantener / perfeccionar</v>
      </c>
    </row>
    <row r="276" spans="1:5" x14ac:dyDescent="0.2">
      <c r="A276" t="s">
        <v>248</v>
      </c>
      <c r="B276" t="s">
        <v>315</v>
      </c>
      <c r="C276" t="str">
        <f>INDEX(NORMATIVOS!$C$262:$Z$262,1,MATCH($B$3,NORMATIVOS!$C$1:$Z$1,0))</f>
        <v>Consolidado</v>
      </c>
      <c r="D276" t="str">
        <f>IFERROR(INDEX(CATALOGOS!$H$3:$H$6,MATCH(C276,CATALOGOS!$G$3:$G$6,0)),"")</f>
        <v>Microciclo</v>
      </c>
      <c r="E276" t="str">
        <f>IFERROR(INDEX(CATALOGOS!$I$3:$I$6,MATCH(C276,CATALOGOS!$G$3:$G$6,0)),"")</f>
        <v>Mantener / perfeccionar</v>
      </c>
    </row>
    <row r="277" spans="1:5" x14ac:dyDescent="0.2">
      <c r="A277" t="s">
        <v>248</v>
      </c>
      <c r="B277" t="s">
        <v>252</v>
      </c>
      <c r="C277" t="str">
        <f>INDEX(NORMATIVOS!$C$263:$Z$263,1,MATCH($B$3,NORMATIVOS!$C$1:$Z$1,0))</f>
        <v>Consolidado</v>
      </c>
      <c r="D277" t="str">
        <f>IFERROR(INDEX(CATALOGOS!$H$3:$H$6,MATCH(C277,CATALOGOS!$G$3:$G$6,0)),"")</f>
        <v>Microciclo</v>
      </c>
      <c r="E277" t="str">
        <f>IFERROR(INDEX(CATALOGOS!$I$3:$I$6,MATCH(C277,CATALOGOS!$G$3:$G$6,0)),"")</f>
        <v>Mantener / perfeccionar</v>
      </c>
    </row>
    <row r="278" spans="1:5" x14ac:dyDescent="0.2">
      <c r="A278" t="s">
        <v>248</v>
      </c>
      <c r="B278" t="s">
        <v>253</v>
      </c>
      <c r="C278" t="str">
        <f>INDEX(NORMATIVOS!$C$264:$Z$264,1,MATCH($B$3,NORMATIVOS!$C$1:$Z$1,0))</f>
        <v>Consolidado</v>
      </c>
      <c r="D278" t="str">
        <f>IFERROR(INDEX(CATALOGOS!$H$3:$H$6,MATCH(C278,CATALOGOS!$G$3:$G$6,0)),"")</f>
        <v>Microciclo</v>
      </c>
      <c r="E278" t="str">
        <f>IFERROR(INDEX(CATALOGOS!$I$3:$I$6,MATCH(C278,CATALOGOS!$G$3:$G$6,0)),"")</f>
        <v>Mantener / perfeccionar</v>
      </c>
    </row>
    <row r="279" spans="1:5" x14ac:dyDescent="0.2">
      <c r="A279" t="s">
        <v>248</v>
      </c>
      <c r="B279" t="s">
        <v>316</v>
      </c>
      <c r="C279" t="str">
        <f>INDEX(NORMATIVOS!$C$265:$Z$265,1,MATCH($B$3,NORMATIVOS!$C$1:$Z$1,0))</f>
        <v>En proceso</v>
      </c>
      <c r="D279" t="str">
        <f>IFERROR(INDEX(CATALOGOS!$H$3:$H$6,MATCH(C279,CATALOGOS!$G$3:$G$6,0)),"")</f>
        <v>Mesociclo</v>
      </c>
      <c r="E279" t="str">
        <f>IFERROR(INDEX(CATALOGOS!$I$3:$I$6,MATCH(C279,CATALOGOS!$G$3:$G$6,0)),"")</f>
        <v>Desarrollar / consolidar</v>
      </c>
    </row>
    <row r="280" spans="1:5" x14ac:dyDescent="0.2">
      <c r="A280" t="s">
        <v>248</v>
      </c>
      <c r="B280" t="s">
        <v>255</v>
      </c>
      <c r="C280" t="str">
        <f>INDEX(NORMATIVOS!$C$266:$Z$266,1,MATCH($B$3,NORMATIVOS!$C$1:$Z$1,0))</f>
        <v>En proceso</v>
      </c>
      <c r="D280" t="str">
        <f>IFERROR(INDEX(CATALOGOS!$H$3:$H$6,MATCH(C280,CATALOGOS!$G$3:$G$6,0)),"")</f>
        <v>Mesociclo</v>
      </c>
      <c r="E280" t="str">
        <f>IFERROR(INDEX(CATALOGOS!$I$3:$I$6,MATCH(C280,CATALOGOS!$G$3:$G$6,0)),"")</f>
        <v>Desarrollar / consolidar</v>
      </c>
    </row>
    <row r="281" spans="1:5" x14ac:dyDescent="0.2">
      <c r="A281" t="s">
        <v>248</v>
      </c>
      <c r="B281" t="s">
        <v>256</v>
      </c>
      <c r="C281" t="str">
        <f>INDEX(NORMATIVOS!$C$267:$Z$267,1,MATCH($B$3,NORMATIVOS!$C$1:$Z$1,0))</f>
        <v>En proceso</v>
      </c>
      <c r="D281" t="str">
        <f>IFERROR(INDEX(CATALOGOS!$H$3:$H$6,MATCH(C281,CATALOGOS!$G$3:$G$6,0)),"")</f>
        <v>Mesociclo</v>
      </c>
      <c r="E281" t="str">
        <f>IFERROR(INDEX(CATALOGOS!$I$3:$I$6,MATCH(C281,CATALOGOS!$G$3:$G$6,0)),"")</f>
        <v>Desarrollar / consolidar</v>
      </c>
    </row>
    <row r="282" spans="1:5" x14ac:dyDescent="0.2">
      <c r="A282" t="s">
        <v>248</v>
      </c>
      <c r="B282" t="s">
        <v>317</v>
      </c>
      <c r="C282" t="str">
        <f>INDEX(NORMATIVOS!$C$268:$Z$268,1,MATCH($B$3,NORMATIVOS!$C$1:$Z$1,0))</f>
        <v>En proceso</v>
      </c>
      <c r="D282" t="str">
        <f>IFERROR(INDEX(CATALOGOS!$H$3:$H$6,MATCH(C282,CATALOGOS!$G$3:$G$6,0)),"")</f>
        <v>Mesociclo</v>
      </c>
      <c r="E282" t="str">
        <f>IFERROR(INDEX(CATALOGOS!$I$3:$I$6,MATCH(C282,CATALOGOS!$G$3:$G$6,0)),"")</f>
        <v>Desarrollar / consolidar</v>
      </c>
    </row>
    <row r="283" spans="1:5" x14ac:dyDescent="0.2">
      <c r="A283" t="s">
        <v>248</v>
      </c>
      <c r="B283" t="s">
        <v>258</v>
      </c>
      <c r="C283" t="str">
        <f>INDEX(NORMATIVOS!$C$269:$Z$269,1,MATCH($B$3,NORMATIVOS!$C$1:$Z$1,0))</f>
        <v>En proceso</v>
      </c>
      <c r="D283" t="str">
        <f>IFERROR(INDEX(CATALOGOS!$H$3:$H$6,MATCH(C283,CATALOGOS!$G$3:$G$6,0)),"")</f>
        <v>Mesociclo</v>
      </c>
      <c r="E283" t="str">
        <f>IFERROR(INDEX(CATALOGOS!$I$3:$I$6,MATCH(C283,CATALOGOS!$G$3:$G$6,0)),"")</f>
        <v>Desarrollar / consolidar</v>
      </c>
    </row>
    <row r="284" spans="1:5" x14ac:dyDescent="0.2">
      <c r="A284" t="s">
        <v>248</v>
      </c>
      <c r="B284" t="s">
        <v>259</v>
      </c>
      <c r="C284" t="str">
        <f>INDEX(NORMATIVOS!$C$270:$Z$270,1,MATCH($B$3,NORMATIVOS!$C$1:$Z$1,0))</f>
        <v>En proceso</v>
      </c>
      <c r="D284" t="str">
        <f>IFERROR(INDEX(CATALOGOS!$H$3:$H$6,MATCH(C284,CATALOGOS!$G$3:$G$6,0)),"")</f>
        <v>Mesociclo</v>
      </c>
      <c r="E284" t="str">
        <f>IFERROR(INDEX(CATALOGOS!$I$3:$I$6,MATCH(C284,CATALOGOS!$G$3:$G$6,0)),"")</f>
        <v>Desarrollar / consolidar</v>
      </c>
    </row>
    <row r="285" spans="1:5" x14ac:dyDescent="0.2">
      <c r="A285" t="s">
        <v>248</v>
      </c>
      <c r="B285" t="s">
        <v>260</v>
      </c>
      <c r="C285" t="str">
        <f>INDEX(NORMATIVOS!$C$271:$Z$271,1,MATCH($B$3,NORMATIVOS!$C$1:$Z$1,0))</f>
        <v>Proyección</v>
      </c>
      <c r="D285" t="str">
        <f>IFERROR(INDEX(CATALOGOS!$H$3:$H$6,MATCH(C285,CATALOGOS!$G$3:$G$6,0)),"")</f>
        <v>Macrociclo</v>
      </c>
      <c r="E285" t="str">
        <f>IFERROR(INDEX(CATALOGOS!$I$3:$I$6,MATCH(C285,CATALOGOS!$G$3:$G$6,0)),"")</f>
        <v>Iniciar / aprender</v>
      </c>
    </row>
    <row r="286" spans="1:5" x14ac:dyDescent="0.2">
      <c r="A286" t="s">
        <v>248</v>
      </c>
      <c r="B286" t="s">
        <v>261</v>
      </c>
      <c r="C286" t="str">
        <f>INDEX(NORMATIVOS!$C$272:$Z$272,1,MATCH($B$3,NORMATIVOS!$C$1:$Z$1,0))</f>
        <v>Proyección</v>
      </c>
      <c r="D286" t="str">
        <f>IFERROR(INDEX(CATALOGOS!$H$3:$H$6,MATCH(C286,CATALOGOS!$G$3:$G$6,0)),"")</f>
        <v>Macrociclo</v>
      </c>
      <c r="E286" t="str">
        <f>IFERROR(INDEX(CATALOGOS!$I$3:$I$6,MATCH(C286,CATALOGOS!$G$3:$G$6,0)),"")</f>
        <v>Iniciar / aprender</v>
      </c>
    </row>
    <row r="287" spans="1:5" x14ac:dyDescent="0.2">
      <c r="A287" t="s">
        <v>248</v>
      </c>
      <c r="B287" t="s">
        <v>262</v>
      </c>
      <c r="C287" t="str">
        <f>INDEX(NORMATIVOS!$C$273:$Z$273,1,MATCH($B$3,NORMATIVOS!$C$1:$Z$1,0))</f>
        <v>Proyección</v>
      </c>
      <c r="D287" t="str">
        <f>IFERROR(INDEX(CATALOGOS!$H$3:$H$6,MATCH(C287,CATALOGOS!$G$3:$G$6,0)),"")</f>
        <v>Macrociclo</v>
      </c>
      <c r="E287" t="str">
        <f>IFERROR(INDEX(CATALOGOS!$I$3:$I$6,MATCH(C287,CATALOGOS!$G$3:$G$6,0)),"")</f>
        <v>Iniciar / aprender</v>
      </c>
    </row>
    <row r="288" spans="1:5" x14ac:dyDescent="0.2">
      <c r="A288" t="s">
        <v>248</v>
      </c>
      <c r="B288" t="s">
        <v>263</v>
      </c>
      <c r="C288" t="str">
        <f>INDEX(NORMATIVOS!$C$274:$Z$274,1,MATCH($B$3,NORMATIVOS!$C$1:$Z$1,0))</f>
        <v>Proyección</v>
      </c>
      <c r="D288" t="str">
        <f>IFERROR(INDEX(CATALOGOS!$H$3:$H$6,MATCH(C288,CATALOGOS!$G$3:$G$6,0)),"")</f>
        <v>Macrociclo</v>
      </c>
      <c r="E288" t="str">
        <f>IFERROR(INDEX(CATALOGOS!$I$3:$I$6,MATCH(C288,CATALOGOS!$G$3:$G$6,0)),"")</f>
        <v>Iniciar / aprender</v>
      </c>
    </row>
    <row r="289" spans="1:5" x14ac:dyDescent="0.2">
      <c r="A289" t="s">
        <v>248</v>
      </c>
      <c r="B289" t="s">
        <v>264</v>
      </c>
      <c r="C289" t="str">
        <f>INDEX(NORMATIVOS!$C$275:$Z$275,1,MATCH($B$3,NORMATIVOS!$C$1:$Z$1,0))</f>
        <v>Proyección</v>
      </c>
      <c r="D289" t="str">
        <f>IFERROR(INDEX(CATALOGOS!$H$3:$H$6,MATCH(C289,CATALOGOS!$G$3:$G$6,0)),"")</f>
        <v>Macrociclo</v>
      </c>
      <c r="E289" t="str">
        <f>IFERROR(INDEX(CATALOGOS!$I$3:$I$6,MATCH(C289,CATALOGOS!$G$3:$G$6,0)),"")</f>
        <v>Iniciar / aprender</v>
      </c>
    </row>
    <row r="290" spans="1:5" x14ac:dyDescent="0.2">
      <c r="A290" t="s">
        <v>248</v>
      </c>
      <c r="B290" t="s">
        <v>265</v>
      </c>
      <c r="C290" t="str">
        <f>INDEX(NORMATIVOS!$C$276:$Z$276,1,MATCH($B$3,NORMATIVOS!$C$1:$Z$1,0))</f>
        <v>Proyección</v>
      </c>
      <c r="D290" t="str">
        <f>IFERROR(INDEX(CATALOGOS!$H$3:$H$6,MATCH(C290,CATALOGOS!$G$3:$G$6,0)),"")</f>
        <v>Macrociclo</v>
      </c>
      <c r="E290" t="str">
        <f>IFERROR(INDEX(CATALOGOS!$I$3:$I$6,MATCH(C290,CATALOGOS!$G$3:$G$6,0)),"")</f>
        <v>Iniciar / aprender</v>
      </c>
    </row>
  </sheetData>
  <autoFilter ref="A26:E290" xr:uid="{4B4D5805-7A16-D64C-8736-F1FAF1D2E8B1}"/>
  <mergeCells count="2">
    <mergeCell ref="A1:H1"/>
    <mergeCell ref="A25:C25"/>
  </mergeCells>
  <conditionalFormatting sqref="C27:E290">
    <cfRule type="expression" dxfId="3" priority="1">
      <formula>C27="Consolidado"</formula>
    </cfRule>
    <cfRule type="expression" dxfId="2" priority="2">
      <formula>C27="En proceso"</formula>
    </cfRule>
    <cfRule type="expression" dxfId="1" priority="3">
      <formula>C27="Proyección"</formula>
    </cfRule>
    <cfRule type="expression" dxfId="0" priority="4">
      <formula>C27="N/A"</formula>
    </cfRule>
  </conditionalFormatting>
  <pageMargins left="0.75" right="0.75" top="1" bottom="1"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NORMATIVOS</vt:lpstr>
      <vt:lpstr>FICHA DEL ATLETA</vt:lpstr>
      <vt:lpstr>INDICADORES</vt:lpstr>
      <vt:lpstr>CONSOLIDADO</vt:lpstr>
      <vt:lpstr>CATALOGOS</vt:lpstr>
      <vt:lpstr>Angel Babun</vt:lpstr>
      <vt:lpstr>Felix Mogollon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Manuel Jaime Morales Gimnasia Varonil Kids Center</dc:creator>
  <cp:lastModifiedBy>José Manuel Jaime Morales Gimnasia Varonil Kids Center</cp:lastModifiedBy>
  <dcterms:created xsi:type="dcterms:W3CDTF">2026-09-17T07:15:24Z</dcterms:created>
  <dcterms:modified xsi:type="dcterms:W3CDTF">2026-09-27T16:40:58Z</dcterms:modified>
</cp:coreProperties>
</file>